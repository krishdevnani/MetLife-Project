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340"/>
  </bookViews>
  <sheets>
    <sheet name="Sheet1" sheetId="1" r:id="rId1"/>
    <sheet name="CRP_Helper" sheetId="2" r:id="rId2"/>
  </sheets>
  <definedNames>
    <definedName name="_xlnm._FilterDatabase" localSheetId="0" hidden="1">Sheet1!$A$1:$A$92</definedName>
  </definedName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BE1" authorId="0">
      <text>
        <r>
          <rPr>
            <sz val="10"/>
            <rFont val="SimSun"/>
            <charset val="134"/>
          </rPr>
          <t>Country Risk Premium merged from ctryprem.xlsx (Damodaran workbook). Source URL: https://pages.stern.nyu.edu/~adamodar/New_Home_Page/datafile/ctryprem.html</t>
        </r>
      </text>
    </comment>
    <comment ref="BF1" authorId="0">
      <text>
        <r>
          <rPr>
            <sz val="10"/>
            <rFont val="SimSun"/>
            <charset val="134"/>
          </rPr>
          <t>Z-score based on Country Risk Premium for matched countries only. Formula = (country CRP - mean CRP) / sample stdev of CRP. Higher CRP means higher risk.</t>
        </r>
      </text>
    </comment>
  </commentList>
</comments>
</file>

<file path=xl/sharedStrings.xml><?xml version="1.0" encoding="utf-8"?>
<sst xmlns="http://schemas.openxmlformats.org/spreadsheetml/2006/main" count="470" uniqueCount="246">
  <si>
    <t>Country</t>
  </si>
  <si>
    <t>Region_Specific</t>
  </si>
  <si>
    <t>region</t>
  </si>
  <si>
    <t>hdi_year</t>
  </si>
  <si>
    <t>hdi</t>
  </si>
  <si>
    <t>gini_year</t>
  </si>
  <si>
    <t>gini</t>
  </si>
  <si>
    <t>gender_year</t>
  </si>
  <si>
    <t>gender_ineq</t>
  </si>
  <si>
    <t>lifeexp_year</t>
  </si>
  <si>
    <t>life_exp</t>
  </si>
  <si>
    <t>regqual_year</t>
  </si>
  <si>
    <t>reg_quality</t>
  </si>
  <si>
    <t>cpi_year</t>
  </si>
  <si>
    <t>cpi_score</t>
  </si>
  <si>
    <t>Population</t>
  </si>
  <si>
    <t>Unemployment</t>
  </si>
  <si>
    <t>Inflation</t>
  </si>
  <si>
    <t>Property Rights Score</t>
  </si>
  <si>
    <t>Year</t>
  </si>
  <si>
    <t>Human Development Index</t>
  </si>
  <si>
    <t>Gini coefficient (before tax) (World Inequality Database)</t>
  </si>
  <si>
    <t>Gender Inequality Index</t>
  </si>
  <si>
    <t>Life expectancy</t>
  </si>
  <si>
    <t>CPI score 2025</t>
  </si>
  <si>
    <t>Rank 2025</t>
  </si>
  <si>
    <t>EducationRankingsWorldTop20_2026</t>
  </si>
  <si>
    <t>Public Debt</t>
  </si>
  <si>
    <t>Business Freedom Score</t>
  </si>
  <si>
    <t>Tax Burden Score</t>
  </si>
  <si>
    <t>Trade Freedom Score</t>
  </si>
  <si>
    <t>Investment Freedom Score</t>
  </si>
  <si>
    <t>Financial Freedom Score</t>
  </si>
  <si>
    <t>Gini coefficient (before tax) (World Inequality Database) (Original Year)</t>
  </si>
  <si>
    <t>EducationRankings_PublicEducationSystemScoreUSNews_2024</t>
  </si>
  <si>
    <t>Market Transparency Overall Score</t>
  </si>
  <si>
    <t>Market Transparency Investment Performance</t>
  </si>
  <si>
    <t>Market Transparency Market Fundamentals</t>
  </si>
  <si>
    <t>Market Transparency Listed Vehicles</t>
  </si>
  <si>
    <t>Market Transparency Regulatory &amp; Legal</t>
  </si>
  <si>
    <t>Market Transparency Transaction Processes</t>
  </si>
  <si>
    <t>Market Transparency Sustainability</t>
  </si>
  <si>
    <t>FDI Inflow Numeric</t>
  </si>
  <si>
    <t>Public Debt Ratio</t>
  </si>
  <si>
    <t>GDP_(PPP)_Numeric</t>
  </si>
  <si>
    <t>Public Debt_Num</t>
  </si>
  <si>
    <t>Population_Numeric</t>
  </si>
  <si>
    <t>10yr Average TROR</t>
  </si>
  <si>
    <t>Prior Yr TROR</t>
  </si>
  <si>
    <t>StDev TROR</t>
  </si>
  <si>
    <t>Worst Drawdown TROR</t>
  </si>
  <si>
    <t>10yr Average Cap Rate</t>
  </si>
  <si>
    <t>Current Cap Rate</t>
  </si>
  <si>
    <t>Country Risk Premium</t>
  </si>
  <si>
    <t>Country Risk Premium Z-Score</t>
  </si>
  <si>
    <t>Category Bucket</t>
  </si>
  <si>
    <t>Sovereign Risk Premium</t>
  </si>
  <si>
    <t>Legal Systems</t>
  </si>
  <si>
    <t>Economic Conditions</t>
  </si>
  <si>
    <t>Real Estate Performance</t>
  </si>
  <si>
    <t>Risk Premium</t>
  </si>
  <si>
    <t>Afghanistan</t>
  </si>
  <si>
    <t>South Asia</t>
  </si>
  <si>
    <t>Asia</t>
  </si>
  <si>
    <t>Albania</t>
  </si>
  <si>
    <t>Eastern Europe</t>
  </si>
  <si>
    <t>Europe</t>
  </si>
  <si>
    <t>2.8 million</t>
  </si>
  <si>
    <t>Andorra</t>
  </si>
  <si>
    <t>Southern Europe</t>
  </si>
  <si>
    <t>Armenia</t>
  </si>
  <si>
    <t>Caucasus</t>
  </si>
  <si>
    <t>3.0 million</t>
  </si>
  <si>
    <t>Austria</t>
  </si>
  <si>
    <t>Western Europe</t>
  </si>
  <si>
    <t>9.1 million</t>
  </si>
  <si>
    <t>Azerbaijan</t>
  </si>
  <si>
    <t>10.1 million</t>
  </si>
  <si>
    <t>Bahrain</t>
  </si>
  <si>
    <t>Middle East</t>
  </si>
  <si>
    <t>1.6 million</t>
  </si>
  <si>
    <t>Bangladesh</t>
  </si>
  <si>
    <t>170.3 million</t>
  </si>
  <si>
    <t>Belarus</t>
  </si>
  <si>
    <t>9.2 million</t>
  </si>
  <si>
    <t>Belgium</t>
  </si>
  <si>
    <t>11.7 million</t>
  </si>
  <si>
    <t>Bhutan</t>
  </si>
  <si>
    <t>0.8 million</t>
  </si>
  <si>
    <t>Bosnia and Herzegovina</t>
  </si>
  <si>
    <t>3.5 million</t>
  </si>
  <si>
    <t>Brunei</t>
  </si>
  <si>
    <t>Southeast Asia</t>
  </si>
  <si>
    <t>0.5 million</t>
  </si>
  <si>
    <t>Bulgaria</t>
  </si>
  <si>
    <t>6.4 million</t>
  </si>
  <si>
    <t>Cambodia</t>
  </si>
  <si>
    <t>17.0 million</t>
  </si>
  <si>
    <t>China</t>
  </si>
  <si>
    <t>East Asia</t>
  </si>
  <si>
    <t>1.4 billion</t>
  </si>
  <si>
    <t>Croatia</t>
  </si>
  <si>
    <t>3.8 million</t>
  </si>
  <si>
    <t>Cyprus</t>
  </si>
  <si>
    <t>0.9 million</t>
  </si>
  <si>
    <t>Czechia</t>
  </si>
  <si>
    <t>Denmark</t>
  </si>
  <si>
    <t>Northern Europe</t>
  </si>
  <si>
    <t>5.9 million</t>
  </si>
  <si>
    <t>East Timor</t>
  </si>
  <si>
    <t>Estonia</t>
  </si>
  <si>
    <t>1.4 million</t>
  </si>
  <si>
    <t>Finland</t>
  </si>
  <si>
    <t>5.6 million</t>
  </si>
  <si>
    <t>France</t>
  </si>
  <si>
    <t>65.9 million</t>
  </si>
  <si>
    <t>Georgia</t>
  </si>
  <si>
    <t>3.7 million</t>
  </si>
  <si>
    <t>Germany</t>
  </si>
  <si>
    <t>84.5 million</t>
  </si>
  <si>
    <t>Greece</t>
  </si>
  <si>
    <t>10.4 million</t>
  </si>
  <si>
    <t>Hong Kong</t>
  </si>
  <si>
    <t>Hungary</t>
  </si>
  <si>
    <t>9.6 million</t>
  </si>
  <si>
    <t>Iceland</t>
  </si>
  <si>
    <t>0.4 million</t>
  </si>
  <si>
    <t>India</t>
  </si>
  <si>
    <t>Indonesia</t>
  </si>
  <si>
    <t>278.7 million</t>
  </si>
  <si>
    <t>Iran</t>
  </si>
  <si>
    <t>85.8 million</t>
  </si>
  <si>
    <t>Iraq</t>
  </si>
  <si>
    <t>43.3 million</t>
  </si>
  <si>
    <t>Ireland</t>
  </si>
  <si>
    <t>5.3 million</t>
  </si>
  <si>
    <t>Israel</t>
  </si>
  <si>
    <t>9.8 million</t>
  </si>
  <si>
    <t>Italy</t>
  </si>
  <si>
    <t>59.0 million</t>
  </si>
  <si>
    <t>Japan</t>
  </si>
  <si>
    <t>124.5 million</t>
  </si>
  <si>
    <t>Jordan</t>
  </si>
  <si>
    <t>11.3 million</t>
  </si>
  <si>
    <t>Kazakhstan</t>
  </si>
  <si>
    <t>Central Asia</t>
  </si>
  <si>
    <t>19.9 million</t>
  </si>
  <si>
    <t>Kuwait</t>
  </si>
  <si>
    <t>4.9 million</t>
  </si>
  <si>
    <t>Kyrgyzstan</t>
  </si>
  <si>
    <t>Laos</t>
  </si>
  <si>
    <t>7.6 million</t>
  </si>
  <si>
    <t>Latvia</t>
  </si>
  <si>
    <t>1.9 million</t>
  </si>
  <si>
    <t>Lebanon</t>
  </si>
  <si>
    <t>5.4 million</t>
  </si>
  <si>
    <t>Liechtenstein</t>
  </si>
  <si>
    <t>Lithuania</t>
  </si>
  <si>
    <t>2.9 million</t>
  </si>
  <si>
    <t>Luxembourg</t>
  </si>
  <si>
    <t>0.7 million</t>
  </si>
  <si>
    <t>Malaysia</t>
  </si>
  <si>
    <t>33.1 million</t>
  </si>
  <si>
    <t>Maldives</t>
  </si>
  <si>
    <t>Malta</t>
  </si>
  <si>
    <t>Moldova</t>
  </si>
  <si>
    <t>2.5 million</t>
  </si>
  <si>
    <t>Mongolia</t>
  </si>
  <si>
    <t>Montenegro</t>
  </si>
  <si>
    <t>0.6 million</t>
  </si>
  <si>
    <t>Myanmar</t>
  </si>
  <si>
    <t>Nepal</t>
  </si>
  <si>
    <t>31.1 million</t>
  </si>
  <si>
    <t>Netherlands</t>
  </si>
  <si>
    <t>17.8 million</t>
  </si>
  <si>
    <t>Norway</t>
  </si>
  <si>
    <t>5.5 million</t>
  </si>
  <si>
    <t>Oman</t>
  </si>
  <si>
    <t>5.2 million</t>
  </si>
  <si>
    <t>Pakistan</t>
  </si>
  <si>
    <t>231.4 million</t>
  </si>
  <si>
    <t>Palestine</t>
  </si>
  <si>
    <t>Philippines</t>
  </si>
  <si>
    <t>111.9 million</t>
  </si>
  <si>
    <t>Poland</t>
  </si>
  <si>
    <t>36.8 million</t>
  </si>
  <si>
    <t>Portugal</t>
  </si>
  <si>
    <t>10.3 million</t>
  </si>
  <si>
    <t>Qatar</t>
  </si>
  <si>
    <t>3.1 million</t>
  </si>
  <si>
    <t>Romania</t>
  </si>
  <si>
    <t>19.1 million</t>
  </si>
  <si>
    <t>Russia</t>
  </si>
  <si>
    <t>146.3 million</t>
  </si>
  <si>
    <t>San Marino</t>
  </si>
  <si>
    <t>Saudi Arabia</t>
  </si>
  <si>
    <t>32.8 million</t>
  </si>
  <si>
    <t>Serbia</t>
  </si>
  <si>
    <t>6.6 million</t>
  </si>
  <si>
    <t>Singapore</t>
  </si>
  <si>
    <t>Slovakia</t>
  </si>
  <si>
    <t>Slovenia</t>
  </si>
  <si>
    <t>2.1 million</t>
  </si>
  <si>
    <t>South Korea</t>
  </si>
  <si>
    <t>51.7 million</t>
  </si>
  <si>
    <t>Spain</t>
  </si>
  <si>
    <t>47.8 million</t>
  </si>
  <si>
    <t>Sri Lanka</t>
  </si>
  <si>
    <t>22.2 million</t>
  </si>
  <si>
    <t>Sweden</t>
  </si>
  <si>
    <t>10.6 million</t>
  </si>
  <si>
    <t>Switzerland</t>
  </si>
  <si>
    <t>8.8 million</t>
  </si>
  <si>
    <t>Syria</t>
  </si>
  <si>
    <t>Tajikistan</t>
  </si>
  <si>
    <t>10.0 million</t>
  </si>
  <si>
    <t>Thailand</t>
  </si>
  <si>
    <t>70.2 million</t>
  </si>
  <si>
    <t>Turkey</t>
  </si>
  <si>
    <t>85.4 million</t>
  </si>
  <si>
    <t>Turkmenistan</t>
  </si>
  <si>
    <t>6.5 million</t>
  </si>
  <si>
    <t>Ukraine</t>
  </si>
  <si>
    <t>34.0 million</t>
  </si>
  <si>
    <t>United Arab Emirates</t>
  </si>
  <si>
    <t>10.7 million</t>
  </si>
  <si>
    <t>United Kingdom</t>
  </si>
  <si>
    <t>68.1 million</t>
  </si>
  <si>
    <t>Uzbekistan</t>
  </si>
  <si>
    <t>36.0 million</t>
  </si>
  <si>
    <t>Vietnam</t>
  </si>
  <si>
    <t>100.3 million</t>
  </si>
  <si>
    <t>Yemen</t>
  </si>
  <si>
    <t>34.1 million</t>
  </si>
  <si>
    <t>United States</t>
  </si>
  <si>
    <t>North America</t>
  </si>
  <si>
    <t>Americas</t>
  </si>
  <si>
    <t>340.1 million</t>
  </si>
  <si>
    <t>Metric</t>
  </si>
  <si>
    <t>Value</t>
  </si>
  <si>
    <t>Source URL</t>
  </si>
  <si>
    <t>https://pages.stern.nyu.edu/~adamodar/New_Home_Page/datafile/ctryprem.html</t>
  </si>
  <si>
    <t>Mean CRP</t>
  </si>
  <si>
    <t>Std Dev CRP</t>
  </si>
  <si>
    <t>Matched country count</t>
  </si>
  <si>
    <t>Unmatched country count</t>
  </si>
</sst>
</file>

<file path=xl/styles.xml><?xml version="1.0" encoding="utf-8"?>
<styleSheet xmlns="http://schemas.openxmlformats.org/spreadsheetml/2006/main">
  <numFmts count="5">
    <numFmt numFmtId="176" formatCode="0.0000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4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 applyAlignment="1"/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5" fillId="3" borderId="0" xfId="0" applyFont="1" applyFill="1"/>
    <xf numFmtId="0" fontId="4" fillId="3" borderId="1" xfId="0" applyFont="1" applyFill="1" applyBorder="1" applyAlignment="1">
      <alignment horizontal="center" vertical="top"/>
    </xf>
    <xf numFmtId="176" fontId="0" fillId="0" borderId="0" xfId="0" applyNumberFormat="1"/>
    <xf numFmtId="176" fontId="0" fillId="0" borderId="0" xfId="0" applyNumberForma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01"/>
  <sheetViews>
    <sheetView tabSelected="1" zoomScale="105" zoomScaleNormal="105" workbookViewId="0">
      <pane xSplit="1" ySplit="1" topLeftCell="AZ2" activePane="bottomRight" state="frozen"/>
      <selection/>
      <selection pane="topRight"/>
      <selection pane="bottomLeft"/>
      <selection pane="bottomRight" activeCell="BF11" sqref="BF11"/>
    </sheetView>
  </sheetViews>
  <sheetFormatPr defaultColWidth="14.4296875" defaultRowHeight="15" customHeight="1"/>
  <cols>
    <col min="1" max="56" width="32.4296875" style="1" customWidth="1"/>
    <col min="57" max="57" width="22" style="1" customWidth="1"/>
    <col min="58" max="58" width="24" style="1" customWidth="1"/>
  </cols>
  <sheetData>
    <row r="1" spans="1:5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19</v>
      </c>
      <c r="W1" s="6" t="s">
        <v>21</v>
      </c>
      <c r="X1" s="6" t="s">
        <v>19</v>
      </c>
      <c r="Y1" s="6" t="s">
        <v>22</v>
      </c>
      <c r="Z1" s="6" t="s">
        <v>19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</row>
    <row r="2" spans="1:58">
      <c r="A2" s="1" t="s">
        <v>55</v>
      </c>
      <c r="D2" s="1" t="s">
        <v>56</v>
      </c>
      <c r="E2" s="1" t="s">
        <v>56</v>
      </c>
      <c r="F2" s="1" t="s">
        <v>56</v>
      </c>
      <c r="G2" s="1" t="s">
        <v>56</v>
      </c>
      <c r="H2" s="1" t="s">
        <v>56</v>
      </c>
      <c r="I2" s="1" t="s">
        <v>56</v>
      </c>
      <c r="J2" s="1" t="s">
        <v>56</v>
      </c>
      <c r="K2" s="1" t="s">
        <v>56</v>
      </c>
      <c r="L2" s="1" t="s">
        <v>57</v>
      </c>
      <c r="M2" s="1" t="s">
        <v>57</v>
      </c>
      <c r="N2" s="1" t="s">
        <v>57</v>
      </c>
      <c r="O2" s="1" t="s">
        <v>57</v>
      </c>
      <c r="P2" s="1" t="s">
        <v>58</v>
      </c>
      <c r="Q2" s="1" t="s">
        <v>58</v>
      </c>
      <c r="R2" s="1" t="s">
        <v>58</v>
      </c>
      <c r="S2" s="1" t="s">
        <v>57</v>
      </c>
      <c r="T2" s="1" t="s">
        <v>56</v>
      </c>
      <c r="U2" s="1" t="s">
        <v>56</v>
      </c>
      <c r="V2" s="1" t="s">
        <v>56</v>
      </c>
      <c r="W2" s="1" t="s">
        <v>56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C2" s="1" t="s">
        <v>56</v>
      </c>
      <c r="AD2" s="1" t="s">
        <v>56</v>
      </c>
      <c r="AE2" s="1" t="s">
        <v>56</v>
      </c>
      <c r="AF2" s="1" t="s">
        <v>57</v>
      </c>
      <c r="AG2" s="1" t="s">
        <v>58</v>
      </c>
      <c r="AH2" s="1" t="s">
        <v>58</v>
      </c>
      <c r="AI2" s="1" t="s">
        <v>57</v>
      </c>
      <c r="AJ2" s="1" t="s">
        <v>57</v>
      </c>
      <c r="AK2" s="1" t="s">
        <v>56</v>
      </c>
      <c r="AL2" s="1" t="s">
        <v>56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57</v>
      </c>
      <c r="AR2" s="1" t="s">
        <v>59</v>
      </c>
      <c r="AS2" s="1" t="s">
        <v>59</v>
      </c>
      <c r="AT2" s="1" t="s">
        <v>58</v>
      </c>
      <c r="AU2" s="1" t="s">
        <v>56</v>
      </c>
      <c r="AV2" s="1" t="s">
        <v>58</v>
      </c>
      <c r="AW2" s="1" t="s">
        <v>56</v>
      </c>
      <c r="AX2" s="1" t="s">
        <v>58</v>
      </c>
      <c r="AY2" s="1" t="s">
        <v>59</v>
      </c>
      <c r="AZ2" s="1" t="s">
        <v>59</v>
      </c>
      <c r="BA2" s="1" t="s">
        <v>59</v>
      </c>
      <c r="BB2" s="1" t="s">
        <v>59</v>
      </c>
      <c r="BC2" s="1" t="s">
        <v>59</v>
      </c>
      <c r="BD2" s="1" t="s">
        <v>59</v>
      </c>
      <c r="BE2" s="9" t="s">
        <v>60</v>
      </c>
      <c r="BF2" s="9"/>
    </row>
    <row r="3" spans="1:58">
      <c r="A3" s="1" t="s">
        <v>61</v>
      </c>
      <c r="B3" s="1" t="s">
        <v>62</v>
      </c>
      <c r="C3" s="1" t="s">
        <v>63</v>
      </c>
      <c r="D3" s="1">
        <v>2023</v>
      </c>
      <c r="E3" s="1">
        <v>0.496</v>
      </c>
      <c r="F3" s="1">
        <v>2023</v>
      </c>
      <c r="G3" s="1">
        <v>0.48894</v>
      </c>
      <c r="H3" s="1">
        <v>2023</v>
      </c>
      <c r="I3" s="1">
        <v>0.661</v>
      </c>
      <c r="J3" s="1">
        <v>2023</v>
      </c>
      <c r="K3" s="1">
        <v>66.0346</v>
      </c>
      <c r="L3" s="1">
        <v>2022</v>
      </c>
      <c r="M3" s="1">
        <v>-1.27180624</v>
      </c>
      <c r="N3" s="1">
        <v>2025</v>
      </c>
      <c r="O3" s="1">
        <v>16</v>
      </c>
      <c r="P3" s="1">
        <v>41128000</v>
      </c>
      <c r="Q3" s="1">
        <v>0.0557</v>
      </c>
      <c r="R3" s="1">
        <v>-0.077</v>
      </c>
      <c r="S3" s="1">
        <v>7.4</v>
      </c>
      <c r="T3" s="1">
        <v>2023</v>
      </c>
      <c r="U3" s="1">
        <v>0.496</v>
      </c>
      <c r="V3" s="1">
        <v>2023</v>
      </c>
      <c r="W3" s="1">
        <v>0.483173</v>
      </c>
      <c r="X3" s="1">
        <v>2023</v>
      </c>
      <c r="Y3" s="1">
        <v>0.661</v>
      </c>
      <c r="Z3" s="1">
        <v>2023</v>
      </c>
      <c r="AA3" s="1">
        <v>66.0346</v>
      </c>
      <c r="AB3" s="1">
        <v>16</v>
      </c>
      <c r="AC3" s="1">
        <v>169</v>
      </c>
      <c r="AD3" s="1">
        <v>146</v>
      </c>
      <c r="AE3" s="1">
        <v>65.5275</v>
      </c>
      <c r="AF3" s="1">
        <v>66.3184210526316</v>
      </c>
      <c r="AG3" s="1">
        <v>85.1289473684211</v>
      </c>
      <c r="AH3" s="1">
        <v>74.0157894736842</v>
      </c>
      <c r="AI3" s="1">
        <v>50.2631578947368</v>
      </c>
      <c r="AJ3" s="1">
        <v>97.8974358974359</v>
      </c>
      <c r="AK3" s="1">
        <v>2000.75</v>
      </c>
      <c r="AL3" s="1">
        <v>16.5413793103448</v>
      </c>
      <c r="AM3" s="1">
        <v>3.23421052631579</v>
      </c>
      <c r="AN3" s="1">
        <v>3.68526315789474</v>
      </c>
      <c r="AO3" s="1">
        <v>3.41421052631579</v>
      </c>
      <c r="AP3" s="1">
        <v>2.82368421052632</v>
      </c>
      <c r="AQ3" s="1">
        <v>2.72947368421053</v>
      </c>
      <c r="AR3" s="1">
        <v>2.78368421052632</v>
      </c>
      <c r="AS3" s="1">
        <v>3.93555555555556</v>
      </c>
      <c r="AT3" s="1">
        <v>15892717948.718</v>
      </c>
      <c r="AU3" s="1">
        <v>0.655275</v>
      </c>
      <c r="AV3" s="1">
        <v>91700000000</v>
      </c>
      <c r="AW3" s="1">
        <v>60088717500</v>
      </c>
      <c r="AX3" s="1">
        <v>41128000</v>
      </c>
      <c r="BE3" s="9"/>
      <c r="BF3" s="9" t="str">
        <f>IF(BE3="","",-(BE3-AVERAGE($BE$3:$BE$120))/STDEV($BE$3:$BE$120))</f>
        <v/>
      </c>
    </row>
    <row r="4" spans="1:58">
      <c r="A4" s="1" t="s">
        <v>64</v>
      </c>
      <c r="B4" s="1" t="s">
        <v>65</v>
      </c>
      <c r="C4" s="1" t="s">
        <v>66</v>
      </c>
      <c r="D4" s="1">
        <v>2023</v>
      </c>
      <c r="E4" s="1">
        <v>0.81</v>
      </c>
      <c r="F4" s="1">
        <v>2023</v>
      </c>
      <c r="G4" s="1">
        <v>0.441594</v>
      </c>
      <c r="H4" s="1">
        <v>2023</v>
      </c>
      <c r="I4" s="1">
        <v>0.107</v>
      </c>
      <c r="J4" s="1">
        <v>2023</v>
      </c>
      <c r="K4" s="1">
        <v>79.6019</v>
      </c>
      <c r="L4" s="1">
        <v>2022</v>
      </c>
      <c r="M4" s="1">
        <v>0.159353822</v>
      </c>
      <c r="N4" s="1">
        <v>2025</v>
      </c>
      <c r="O4" s="1">
        <v>39</v>
      </c>
      <c r="P4" s="1" t="s">
        <v>67</v>
      </c>
      <c r="Q4" s="1">
        <v>0.116</v>
      </c>
      <c r="R4" s="1">
        <v>0.048</v>
      </c>
      <c r="S4" s="1">
        <v>58.3</v>
      </c>
      <c r="T4" s="1">
        <v>2023</v>
      </c>
      <c r="U4" s="1">
        <v>0.81</v>
      </c>
      <c r="V4" s="1">
        <v>2023</v>
      </c>
      <c r="W4" s="1">
        <v>0.481885</v>
      </c>
      <c r="X4" s="1">
        <v>2023</v>
      </c>
      <c r="Y4" s="1">
        <v>0.107</v>
      </c>
      <c r="Z4" s="1">
        <v>2023</v>
      </c>
      <c r="AA4" s="1">
        <v>79.6019</v>
      </c>
      <c r="AB4" s="1">
        <v>39</v>
      </c>
      <c r="AC4" s="1">
        <v>91</v>
      </c>
      <c r="AD4" s="1">
        <v>66</v>
      </c>
      <c r="AE4" s="1">
        <v>59.8</v>
      </c>
      <c r="AF4" s="1">
        <v>74.2</v>
      </c>
      <c r="AG4" s="1">
        <v>88.8</v>
      </c>
      <c r="AH4" s="1">
        <v>83.4</v>
      </c>
      <c r="AI4" s="1">
        <v>60</v>
      </c>
      <c r="AJ4" s="1">
        <v>60</v>
      </c>
      <c r="AK4" s="1">
        <v>2002</v>
      </c>
      <c r="AL4" s="1">
        <v>43.696875</v>
      </c>
      <c r="AM4" s="1">
        <v>2.2616</v>
      </c>
      <c r="AN4" s="1">
        <v>2.8232</v>
      </c>
      <c r="AO4" s="1">
        <v>2.538</v>
      </c>
      <c r="AP4" s="1">
        <v>2.2348</v>
      </c>
      <c r="AQ4" s="1">
        <v>1.734</v>
      </c>
      <c r="AR4" s="1">
        <v>1.4236</v>
      </c>
      <c r="AS4" s="1">
        <v>2.926</v>
      </c>
      <c r="AT4" s="1">
        <v>1400000000</v>
      </c>
      <c r="AU4" s="1">
        <v>0.598</v>
      </c>
      <c r="AV4" s="1">
        <v>55000000000</v>
      </c>
      <c r="AW4" s="1">
        <v>32890000000</v>
      </c>
      <c r="AX4" s="1">
        <v>2800000</v>
      </c>
      <c r="BE4" s="9">
        <v>0.0465604147637328</v>
      </c>
      <c r="BF4" s="9">
        <f t="shared" ref="BF4:BF35" si="0">IF(BE4="","",-(BE4-AVERAGE($BE$3:$BE$120))/STDEV($BE$3:$BE$120))</f>
        <v>-0.073493306589163</v>
      </c>
    </row>
    <row r="5" spans="1:58">
      <c r="A5" s="1" t="s">
        <v>68</v>
      </c>
      <c r="B5" s="1" t="s">
        <v>69</v>
      </c>
      <c r="C5" s="1" t="s">
        <v>66</v>
      </c>
      <c r="D5" s="1">
        <v>2023</v>
      </c>
      <c r="E5" s="1">
        <v>0.913</v>
      </c>
      <c r="F5" s="1">
        <v>2023</v>
      </c>
      <c r="G5" s="1">
        <v>0.430925</v>
      </c>
      <c r="H5" s="1">
        <v>2023</v>
      </c>
      <c r="I5" s="1">
        <v>0.661</v>
      </c>
      <c r="J5" s="1">
        <v>2023</v>
      </c>
      <c r="K5" s="1">
        <v>84.0406</v>
      </c>
      <c r="L5" s="1">
        <v>2022</v>
      </c>
      <c r="M5" s="1">
        <v>1.398334026</v>
      </c>
      <c r="N5" s="1">
        <v>2025</v>
      </c>
      <c r="O5" s="1">
        <v>58.2051282051282</v>
      </c>
      <c r="P5" s="1">
        <v>80088</v>
      </c>
      <c r="Q5" s="1">
        <v>0.0611052631578947</v>
      </c>
      <c r="R5" s="1">
        <v>0.0709736842105263</v>
      </c>
      <c r="S5" s="1">
        <v>79.3974358974359</v>
      </c>
      <c r="T5" s="1">
        <v>2023</v>
      </c>
      <c r="U5" s="1">
        <v>0.913</v>
      </c>
      <c r="V5" s="1">
        <v>2023</v>
      </c>
      <c r="W5" s="1">
        <v>0.483271</v>
      </c>
      <c r="X5" s="1">
        <v>2023</v>
      </c>
      <c r="Y5" s="1">
        <v>0.0868421052631579</v>
      </c>
      <c r="Z5" s="1">
        <v>2023</v>
      </c>
      <c r="AA5" s="1">
        <v>84.0406</v>
      </c>
      <c r="AB5" s="1">
        <v>58.2051282051282</v>
      </c>
      <c r="AC5" s="1">
        <v>48.3333333333333</v>
      </c>
      <c r="AD5" s="1">
        <v>201</v>
      </c>
      <c r="AE5" s="1">
        <v>61.8447368421053</v>
      </c>
      <c r="AF5" s="1">
        <v>78.9837837837838</v>
      </c>
      <c r="AG5" s="1">
        <v>71.4578947368421</v>
      </c>
      <c r="AH5" s="1">
        <v>79.5421052631579</v>
      </c>
      <c r="AI5" s="1">
        <v>71.1842105263158</v>
      </c>
      <c r="AJ5" s="1">
        <v>112.794871794872</v>
      </c>
      <c r="AK5" s="1">
        <v>1717.05714285714</v>
      </c>
      <c r="AL5" s="1">
        <v>43.696875</v>
      </c>
      <c r="AM5" s="1">
        <v>2.2616</v>
      </c>
      <c r="AN5" s="1">
        <v>2.8232</v>
      </c>
      <c r="AO5" s="1">
        <v>2.538</v>
      </c>
      <c r="AP5" s="1">
        <v>2.2348</v>
      </c>
      <c r="AQ5" s="1">
        <v>1.734</v>
      </c>
      <c r="AR5" s="1">
        <v>1.4236</v>
      </c>
      <c r="AS5" s="1">
        <v>2.926</v>
      </c>
      <c r="AT5" s="1">
        <v>18657710526.3158</v>
      </c>
      <c r="AU5" s="1">
        <v>0.618447368421053</v>
      </c>
      <c r="AV5" s="1">
        <v>258984210527.103</v>
      </c>
      <c r="AW5" s="1">
        <v>160168103463.091</v>
      </c>
      <c r="AX5" s="1">
        <v>80088</v>
      </c>
      <c r="BE5" s="9">
        <v>0.0206935176727701</v>
      </c>
      <c r="BF5" s="9">
        <f t="shared" si="0"/>
        <v>0.400142844536497</v>
      </c>
    </row>
    <row r="6" spans="1:58">
      <c r="A6" s="1" t="s">
        <v>70</v>
      </c>
      <c r="B6" s="1" t="s">
        <v>71</v>
      </c>
      <c r="C6" s="1" t="s">
        <v>63</v>
      </c>
      <c r="D6" s="1">
        <v>2023</v>
      </c>
      <c r="E6" s="1">
        <v>0.811</v>
      </c>
      <c r="F6" s="1">
        <v>2023</v>
      </c>
      <c r="G6" s="1">
        <v>0.471502</v>
      </c>
      <c r="H6" s="1">
        <v>2023</v>
      </c>
      <c r="I6" s="1">
        <v>0.18</v>
      </c>
      <c r="J6" s="1">
        <v>2023</v>
      </c>
      <c r="K6" s="1">
        <v>75.6827</v>
      </c>
      <c r="L6" s="1">
        <v>2022</v>
      </c>
      <c r="M6" s="1">
        <v>-0.019078802</v>
      </c>
      <c r="N6" s="1">
        <v>2025</v>
      </c>
      <c r="O6" s="1">
        <v>46</v>
      </c>
      <c r="P6" s="1" t="s">
        <v>72</v>
      </c>
      <c r="Q6" s="1">
        <v>0.086</v>
      </c>
      <c r="R6" s="1">
        <v>0.02</v>
      </c>
      <c r="S6" s="1">
        <v>49.9</v>
      </c>
      <c r="T6" s="1">
        <v>2023</v>
      </c>
      <c r="U6" s="1">
        <v>0.811</v>
      </c>
      <c r="V6" s="1">
        <v>2023</v>
      </c>
      <c r="W6" s="1">
        <v>0.473617</v>
      </c>
      <c r="X6" s="1">
        <v>2023</v>
      </c>
      <c r="Y6" s="1">
        <v>0.18</v>
      </c>
      <c r="Z6" s="1">
        <v>2023</v>
      </c>
      <c r="AA6" s="1">
        <v>75.6827</v>
      </c>
      <c r="AB6" s="1">
        <v>46</v>
      </c>
      <c r="AC6" s="1">
        <v>65</v>
      </c>
      <c r="AD6" s="1">
        <v>98</v>
      </c>
      <c r="AE6" s="1">
        <v>50.7</v>
      </c>
      <c r="AF6" s="1">
        <v>73</v>
      </c>
      <c r="AG6" s="1">
        <v>88.1</v>
      </c>
      <c r="AH6" s="1">
        <v>72</v>
      </c>
      <c r="AI6" s="1">
        <v>70</v>
      </c>
      <c r="AJ6" s="1">
        <v>60</v>
      </c>
      <c r="AK6" s="1">
        <v>1999</v>
      </c>
      <c r="AL6" s="1">
        <v>16.5413793103448</v>
      </c>
      <c r="AM6" s="1">
        <v>3.23421052631579</v>
      </c>
      <c r="AN6" s="1">
        <v>3.68526315789474</v>
      </c>
      <c r="AO6" s="1">
        <v>3.41421052631579</v>
      </c>
      <c r="AP6" s="1">
        <v>2.82368421052632</v>
      </c>
      <c r="AQ6" s="1">
        <v>2.72947368421053</v>
      </c>
      <c r="AR6" s="1">
        <v>2.78368421052632</v>
      </c>
      <c r="AS6" s="1">
        <v>3.93555555555556</v>
      </c>
      <c r="AT6" s="1">
        <v>998000000</v>
      </c>
      <c r="AU6" s="1">
        <v>0.507</v>
      </c>
      <c r="AV6" s="1">
        <v>63800000000</v>
      </c>
      <c r="AW6" s="1">
        <v>32346600000</v>
      </c>
      <c r="AX6" s="1">
        <v>3000000</v>
      </c>
      <c r="BE6" s="9">
        <v>0.0465604147637328</v>
      </c>
      <c r="BF6" s="9">
        <f t="shared" si="0"/>
        <v>-0.073493306589163</v>
      </c>
    </row>
    <row r="7" spans="1:58">
      <c r="A7" s="7" t="s">
        <v>73</v>
      </c>
      <c r="B7" s="1" t="s">
        <v>74</v>
      </c>
      <c r="C7" s="1" t="s">
        <v>66</v>
      </c>
      <c r="D7" s="1">
        <v>2023</v>
      </c>
      <c r="E7" s="1">
        <v>0.93</v>
      </c>
      <c r="F7" s="1">
        <v>2023</v>
      </c>
      <c r="G7" s="1">
        <v>0.304018</v>
      </c>
      <c r="H7" s="1">
        <v>2023</v>
      </c>
      <c r="I7" s="1">
        <v>0.033</v>
      </c>
      <c r="J7" s="1">
        <v>2023</v>
      </c>
      <c r="K7" s="1">
        <v>81.9559</v>
      </c>
      <c r="L7" s="1">
        <v>2022</v>
      </c>
      <c r="M7" s="1">
        <v>1.283199787</v>
      </c>
      <c r="N7" s="1">
        <v>2025</v>
      </c>
      <c r="O7" s="1">
        <v>69</v>
      </c>
      <c r="P7" s="1" t="s">
        <v>75</v>
      </c>
      <c r="Q7" s="1">
        <v>0.052</v>
      </c>
      <c r="R7" s="1">
        <v>0.077</v>
      </c>
      <c r="S7" s="1">
        <v>97</v>
      </c>
      <c r="T7" s="1">
        <v>2023</v>
      </c>
      <c r="U7" s="1">
        <v>0.93</v>
      </c>
      <c r="V7" s="1">
        <v>2023</v>
      </c>
      <c r="W7" s="1">
        <v>0.419206</v>
      </c>
      <c r="X7" s="1">
        <v>2023</v>
      </c>
      <c r="Y7" s="1">
        <v>0.033</v>
      </c>
      <c r="Z7" s="1">
        <v>2023</v>
      </c>
      <c r="AA7" s="1">
        <v>81.9559</v>
      </c>
      <c r="AB7" s="1">
        <v>69</v>
      </c>
      <c r="AC7" s="1">
        <v>21</v>
      </c>
      <c r="AD7" s="1">
        <v>35</v>
      </c>
      <c r="AE7" s="1">
        <v>77.5</v>
      </c>
      <c r="AF7" s="1">
        <v>81.7</v>
      </c>
      <c r="AG7" s="1">
        <v>46.3</v>
      </c>
      <c r="AH7" s="1">
        <v>79.6</v>
      </c>
      <c r="AI7" s="1">
        <v>60</v>
      </c>
      <c r="AJ7" s="1">
        <v>70</v>
      </c>
      <c r="AK7" s="1">
        <v>2004</v>
      </c>
      <c r="AL7" s="1">
        <v>68.4</v>
      </c>
      <c r="AM7" s="1">
        <v>2.2616</v>
      </c>
      <c r="AN7" s="1">
        <v>2.8232</v>
      </c>
      <c r="AO7" s="1">
        <v>2.538</v>
      </c>
      <c r="AP7" s="1">
        <v>2.2348</v>
      </c>
      <c r="AQ7" s="1">
        <v>1.734</v>
      </c>
      <c r="AR7" s="1">
        <v>1.4236</v>
      </c>
      <c r="AS7" s="1">
        <v>2.926</v>
      </c>
      <c r="AT7" s="1">
        <v>1900000000</v>
      </c>
      <c r="AU7" s="1">
        <v>0.775</v>
      </c>
      <c r="AV7" s="1">
        <v>655400000000</v>
      </c>
      <c r="AW7" s="1">
        <v>507935000000</v>
      </c>
      <c r="AX7" s="1">
        <v>9100000</v>
      </c>
      <c r="AY7" s="1">
        <v>0.0539548545454546</v>
      </c>
      <c r="AZ7" s="1">
        <v>0.0144338</v>
      </c>
      <c r="BA7" s="1">
        <v>0.026</v>
      </c>
      <c r="BB7" s="1">
        <v>-0.006</v>
      </c>
      <c r="BC7" s="1">
        <v>0.04</v>
      </c>
      <c r="BD7" s="1">
        <v>0.033</v>
      </c>
      <c r="BE7" s="9">
        <v>0.00355507581377216</v>
      </c>
      <c r="BF7" s="9">
        <f t="shared" si="0"/>
        <v>0.713956504127803</v>
      </c>
    </row>
    <row r="8" spans="1:58">
      <c r="A8" s="1" t="s">
        <v>76</v>
      </c>
      <c r="B8" s="1" t="s">
        <v>71</v>
      </c>
      <c r="C8" s="1" t="s">
        <v>63</v>
      </c>
      <c r="D8" s="1">
        <v>2023</v>
      </c>
      <c r="E8" s="1">
        <v>0.789</v>
      </c>
      <c r="F8" s="1">
        <v>2023</v>
      </c>
      <c r="G8" s="1">
        <v>0.461811</v>
      </c>
      <c r="H8" s="1">
        <v>2023</v>
      </c>
      <c r="I8" s="1">
        <v>0.315</v>
      </c>
      <c r="J8" s="1">
        <v>2023</v>
      </c>
      <c r="K8" s="1">
        <v>74.4286</v>
      </c>
      <c r="L8" s="1">
        <v>2022</v>
      </c>
      <c r="M8" s="1">
        <v>-0.103344202</v>
      </c>
      <c r="N8" s="1">
        <v>2025</v>
      </c>
      <c r="O8" s="1">
        <v>30</v>
      </c>
      <c r="P8" s="1" t="s">
        <v>77</v>
      </c>
      <c r="Q8" s="1">
        <v>0.056</v>
      </c>
      <c r="R8" s="1">
        <v>0.088</v>
      </c>
      <c r="S8" s="1">
        <v>52.9</v>
      </c>
      <c r="T8" s="1">
        <v>2023</v>
      </c>
      <c r="U8" s="1">
        <v>0.789</v>
      </c>
      <c r="V8" s="1">
        <v>2023</v>
      </c>
      <c r="W8" s="1">
        <v>0.426498</v>
      </c>
      <c r="X8" s="1">
        <v>2023</v>
      </c>
      <c r="Y8" s="1">
        <v>0.315</v>
      </c>
      <c r="Z8" s="1">
        <v>2023</v>
      </c>
      <c r="AA8" s="1">
        <v>74.4286</v>
      </c>
      <c r="AB8" s="1">
        <v>30</v>
      </c>
      <c r="AC8" s="1">
        <v>130</v>
      </c>
      <c r="AD8" s="1">
        <v>86</v>
      </c>
      <c r="AE8" s="1">
        <v>21.8</v>
      </c>
      <c r="AF8" s="1">
        <v>71.2</v>
      </c>
      <c r="AG8" s="1">
        <v>87.9</v>
      </c>
      <c r="AH8" s="1">
        <v>69.8</v>
      </c>
      <c r="AI8" s="1">
        <v>70</v>
      </c>
      <c r="AJ8" s="1">
        <v>60</v>
      </c>
      <c r="AK8" s="1">
        <v>2002</v>
      </c>
      <c r="AL8" s="1">
        <v>4.8</v>
      </c>
      <c r="AM8" s="1">
        <v>3.23421052631579</v>
      </c>
      <c r="AN8" s="1">
        <v>3.68526315789474</v>
      </c>
      <c r="AO8" s="1">
        <v>3.41421052631579</v>
      </c>
      <c r="AP8" s="1">
        <v>2.82368421052632</v>
      </c>
      <c r="AQ8" s="1">
        <v>2.72947368421053</v>
      </c>
      <c r="AR8" s="1">
        <v>2.78368421052632</v>
      </c>
      <c r="AS8" s="1">
        <v>3.93555555555556</v>
      </c>
      <c r="AT8" s="1">
        <v>4500000000</v>
      </c>
      <c r="AU8" s="1">
        <v>0.218</v>
      </c>
      <c r="AV8" s="1">
        <v>239600000000</v>
      </c>
      <c r="AW8" s="1">
        <v>52232800000</v>
      </c>
      <c r="AX8" s="1">
        <v>10100000</v>
      </c>
      <c r="BE8" s="9">
        <v>0.0284535868000589</v>
      </c>
      <c r="BF8" s="9">
        <f t="shared" si="0"/>
        <v>0.258051999198799</v>
      </c>
    </row>
    <row r="9" spans="1:58">
      <c r="A9" s="1" t="s">
        <v>78</v>
      </c>
      <c r="B9" s="1" t="s">
        <v>79</v>
      </c>
      <c r="C9" s="1" t="s">
        <v>63</v>
      </c>
      <c r="D9" s="1">
        <v>2023</v>
      </c>
      <c r="E9" s="1">
        <v>0.899</v>
      </c>
      <c r="F9" s="1">
        <v>2023</v>
      </c>
      <c r="G9" s="1">
        <v>0.644163</v>
      </c>
      <c r="H9" s="1">
        <v>2023</v>
      </c>
      <c r="I9" s="1">
        <v>0.165</v>
      </c>
      <c r="J9" s="1">
        <v>2023</v>
      </c>
      <c r="K9" s="1">
        <v>81.2835</v>
      </c>
      <c r="L9" s="1">
        <v>2022</v>
      </c>
      <c r="M9" s="1">
        <v>0.970633507</v>
      </c>
      <c r="N9" s="1">
        <v>2025</v>
      </c>
      <c r="O9" s="1">
        <v>50</v>
      </c>
      <c r="P9" s="1" t="s">
        <v>80</v>
      </c>
      <c r="Q9" s="1">
        <v>0.012</v>
      </c>
      <c r="R9" s="1">
        <v>0.001</v>
      </c>
      <c r="S9" s="1">
        <v>65.4</v>
      </c>
      <c r="T9" s="1">
        <v>2023</v>
      </c>
      <c r="U9" s="1">
        <v>0.899</v>
      </c>
      <c r="V9" s="1">
        <v>2023</v>
      </c>
      <c r="W9" s="1">
        <v>0.651435</v>
      </c>
      <c r="X9" s="1">
        <v>2023</v>
      </c>
      <c r="Y9" s="1">
        <v>0.165</v>
      </c>
      <c r="Z9" s="1">
        <v>2023</v>
      </c>
      <c r="AA9" s="1">
        <v>81.2835</v>
      </c>
      <c r="AB9" s="1">
        <v>50</v>
      </c>
      <c r="AC9" s="1">
        <v>56</v>
      </c>
      <c r="AD9" s="1">
        <v>82</v>
      </c>
      <c r="AE9" s="1">
        <v>123.3</v>
      </c>
      <c r="AF9" s="1">
        <v>76.5</v>
      </c>
      <c r="AG9" s="1">
        <v>99.9</v>
      </c>
      <c r="AH9" s="1">
        <v>86.6</v>
      </c>
      <c r="AI9" s="1">
        <v>90</v>
      </c>
      <c r="AJ9" s="1">
        <v>80</v>
      </c>
      <c r="AK9" s="1">
        <v>2005</v>
      </c>
      <c r="AL9" s="1">
        <v>3.8</v>
      </c>
      <c r="AM9" s="1">
        <v>3.79</v>
      </c>
      <c r="AN9" s="1">
        <v>4.33</v>
      </c>
      <c r="AO9" s="1">
        <v>4.36</v>
      </c>
      <c r="AP9" s="1">
        <v>2.67</v>
      </c>
      <c r="AQ9" s="1">
        <v>3.66</v>
      </c>
      <c r="AR9" s="1">
        <v>2.97</v>
      </c>
      <c r="AS9" s="1">
        <v>4.14</v>
      </c>
      <c r="AT9" s="1">
        <v>2000000000</v>
      </c>
      <c r="AU9" s="1">
        <v>1.233</v>
      </c>
      <c r="AV9" s="1">
        <v>100100000000</v>
      </c>
      <c r="AW9" s="1">
        <v>123423300000</v>
      </c>
      <c r="AX9" s="1">
        <v>1600000</v>
      </c>
      <c r="BE9" s="9">
        <v>0.0712100461092384</v>
      </c>
      <c r="BF9" s="9">
        <f t="shared" si="0"/>
        <v>-0.52484069766185</v>
      </c>
    </row>
    <row r="10" spans="1:58">
      <c r="A10" s="1" t="s">
        <v>81</v>
      </c>
      <c r="B10" s="1" t="s">
        <v>62</v>
      </c>
      <c r="C10" s="1" t="s">
        <v>63</v>
      </c>
      <c r="D10" s="1">
        <v>2023</v>
      </c>
      <c r="E10" s="1">
        <v>0.685</v>
      </c>
      <c r="F10" s="1">
        <v>2023</v>
      </c>
      <c r="G10" s="1">
        <v>0.515548</v>
      </c>
      <c r="H10" s="1">
        <v>2023</v>
      </c>
      <c r="I10" s="1">
        <v>0.487</v>
      </c>
      <c r="J10" s="1">
        <v>2023</v>
      </c>
      <c r="K10" s="1">
        <v>74.6723</v>
      </c>
      <c r="L10" s="1">
        <v>2022</v>
      </c>
      <c r="M10" s="1">
        <v>-0.927658916</v>
      </c>
      <c r="N10" s="1">
        <v>2025</v>
      </c>
      <c r="O10" s="1">
        <v>24</v>
      </c>
      <c r="P10" s="1" t="s">
        <v>82</v>
      </c>
      <c r="Q10" s="1">
        <v>0.051</v>
      </c>
      <c r="R10" s="1">
        <v>0.09</v>
      </c>
      <c r="S10" s="1">
        <v>36.5</v>
      </c>
      <c r="T10" s="1">
        <v>2023</v>
      </c>
      <c r="U10" s="1">
        <v>0.685</v>
      </c>
      <c r="V10" s="1">
        <v>2023</v>
      </c>
      <c r="W10" s="1">
        <v>0.500275</v>
      </c>
      <c r="X10" s="1">
        <v>2023</v>
      </c>
      <c r="Y10" s="1">
        <v>0.487</v>
      </c>
      <c r="Z10" s="1">
        <v>2023</v>
      </c>
      <c r="AA10" s="1">
        <v>74.6723</v>
      </c>
      <c r="AB10" s="1">
        <v>24</v>
      </c>
      <c r="AC10" s="1">
        <v>150</v>
      </c>
      <c r="AD10" s="1">
        <v>122</v>
      </c>
      <c r="AE10" s="1">
        <v>39.3</v>
      </c>
      <c r="AF10" s="1">
        <v>53.9</v>
      </c>
      <c r="AG10" s="1">
        <v>82.6</v>
      </c>
      <c r="AH10" s="1">
        <v>62.2</v>
      </c>
      <c r="AI10" s="1">
        <v>50</v>
      </c>
      <c r="AJ10" s="1">
        <v>40</v>
      </c>
      <c r="AK10" s="1">
        <v>2000.75</v>
      </c>
      <c r="AL10" s="1">
        <v>1.5</v>
      </c>
      <c r="AM10" s="1">
        <v>3.23421052631579</v>
      </c>
      <c r="AN10" s="1">
        <v>3.68526315789474</v>
      </c>
      <c r="AO10" s="1">
        <v>3.41421052631579</v>
      </c>
      <c r="AP10" s="1">
        <v>2.82368421052632</v>
      </c>
      <c r="AQ10" s="1">
        <v>2.72947368421053</v>
      </c>
      <c r="AR10" s="1">
        <v>2.78368421052632</v>
      </c>
      <c r="AS10" s="1">
        <v>3.93555555555556</v>
      </c>
      <c r="AT10" s="1">
        <v>3500000000</v>
      </c>
      <c r="AU10" s="1">
        <v>0.393</v>
      </c>
      <c r="AV10" s="1">
        <v>1.6</v>
      </c>
      <c r="AW10" s="1">
        <v>0.6288</v>
      </c>
      <c r="AX10" s="1">
        <v>170300000</v>
      </c>
      <c r="BE10" s="9">
        <v>0.0712100461092384</v>
      </c>
      <c r="BF10" s="9">
        <f t="shared" si="0"/>
        <v>-0.52484069766185</v>
      </c>
    </row>
    <row r="11" spans="1:58">
      <c r="A11" s="1" t="s">
        <v>83</v>
      </c>
      <c r="B11" s="1" t="s">
        <v>65</v>
      </c>
      <c r="C11" s="1" t="s">
        <v>66</v>
      </c>
      <c r="D11" s="1">
        <v>2023</v>
      </c>
      <c r="E11" s="1">
        <v>0.824</v>
      </c>
      <c r="F11" s="1">
        <v>2023</v>
      </c>
      <c r="G11" s="1">
        <v>0.38646</v>
      </c>
      <c r="H11" s="1">
        <v>2023</v>
      </c>
      <c r="I11" s="1">
        <v>0.08</v>
      </c>
      <c r="J11" s="1">
        <v>2023</v>
      </c>
      <c r="K11" s="1">
        <v>74.4339</v>
      </c>
      <c r="L11" s="1">
        <v>2022</v>
      </c>
      <c r="M11" s="1">
        <v>-1.33121407</v>
      </c>
      <c r="N11" s="1">
        <v>2025</v>
      </c>
      <c r="O11" s="1">
        <v>31</v>
      </c>
      <c r="P11" s="1" t="s">
        <v>84</v>
      </c>
      <c r="Q11" s="1">
        <v>0.036</v>
      </c>
      <c r="R11" s="1">
        <v>0.05</v>
      </c>
      <c r="S11" s="1">
        <v>20.9</v>
      </c>
      <c r="T11" s="1">
        <v>2023</v>
      </c>
      <c r="U11" s="1">
        <v>0.824</v>
      </c>
      <c r="V11" s="1">
        <v>2023</v>
      </c>
      <c r="W11" s="1">
        <v>0.380893</v>
      </c>
      <c r="X11" s="1">
        <v>2023</v>
      </c>
      <c r="Y11" s="1">
        <v>0.08</v>
      </c>
      <c r="Z11" s="1">
        <v>2023</v>
      </c>
      <c r="AA11" s="1">
        <v>74.4339</v>
      </c>
      <c r="AB11" s="1">
        <v>31</v>
      </c>
      <c r="AC11" s="1">
        <v>124</v>
      </c>
      <c r="AD11" s="1">
        <v>57</v>
      </c>
      <c r="AE11" s="1">
        <v>40.7</v>
      </c>
      <c r="AF11" s="1">
        <v>50.9</v>
      </c>
      <c r="AG11" s="1">
        <v>89.3</v>
      </c>
      <c r="AH11" s="1">
        <v>69.2</v>
      </c>
      <c r="AI11" s="1">
        <v>30</v>
      </c>
      <c r="AJ11" s="1">
        <v>20</v>
      </c>
      <c r="AK11" s="1">
        <v>1717.05714285714</v>
      </c>
      <c r="AL11" s="1">
        <v>6.1</v>
      </c>
      <c r="AM11" s="1">
        <v>2.2616</v>
      </c>
      <c r="AN11" s="1">
        <v>2.8232</v>
      </c>
      <c r="AO11" s="1">
        <v>2.538</v>
      </c>
      <c r="AP11" s="1">
        <v>2.2348</v>
      </c>
      <c r="AQ11" s="1">
        <v>1.734</v>
      </c>
      <c r="AR11" s="1">
        <v>1.4236</v>
      </c>
      <c r="AS11" s="1">
        <v>2.926</v>
      </c>
      <c r="AT11" s="1">
        <v>1600000000</v>
      </c>
      <c r="AU11" s="1">
        <v>0.407</v>
      </c>
      <c r="AV11" s="1">
        <v>276400000000</v>
      </c>
      <c r="AW11" s="1">
        <v>112494800000</v>
      </c>
      <c r="AX11" s="1">
        <v>9200000</v>
      </c>
      <c r="BE11" s="9">
        <v>0.26659117303269</v>
      </c>
      <c r="BF11" s="9">
        <f t="shared" si="0"/>
        <v>-4.102369329457</v>
      </c>
    </row>
    <row r="12" spans="1:58">
      <c r="A12" s="7" t="s">
        <v>85</v>
      </c>
      <c r="B12" s="1" t="s">
        <v>74</v>
      </c>
      <c r="C12" s="1" t="s">
        <v>66</v>
      </c>
      <c r="D12" s="1">
        <v>2023</v>
      </c>
      <c r="E12" s="1">
        <v>0.951</v>
      </c>
      <c r="F12" s="1">
        <v>2023</v>
      </c>
      <c r="G12" s="1">
        <v>0.282781</v>
      </c>
      <c r="H12" s="1">
        <v>2023</v>
      </c>
      <c r="I12" s="1">
        <v>0.031</v>
      </c>
      <c r="J12" s="1">
        <v>2023</v>
      </c>
      <c r="K12" s="1">
        <v>82.115</v>
      </c>
      <c r="L12" s="1">
        <v>2022</v>
      </c>
      <c r="M12" s="1">
        <v>1.252955198</v>
      </c>
      <c r="N12" s="1">
        <v>2025</v>
      </c>
      <c r="O12" s="1">
        <v>69</v>
      </c>
      <c r="P12" s="1" t="s">
        <v>86</v>
      </c>
      <c r="Q12" s="1">
        <v>0.055</v>
      </c>
      <c r="R12" s="1">
        <v>0.023</v>
      </c>
      <c r="S12" s="1">
        <v>92.8</v>
      </c>
      <c r="T12" s="1">
        <v>2023</v>
      </c>
      <c r="U12" s="1">
        <v>0.951</v>
      </c>
      <c r="V12" s="1">
        <v>2023</v>
      </c>
      <c r="W12" s="1">
        <v>0.432567</v>
      </c>
      <c r="X12" s="1">
        <v>2023</v>
      </c>
      <c r="Y12" s="1">
        <v>0.031</v>
      </c>
      <c r="Z12" s="1">
        <v>2023</v>
      </c>
      <c r="AA12" s="1">
        <v>82.115</v>
      </c>
      <c r="AB12" s="1">
        <v>69</v>
      </c>
      <c r="AC12" s="1">
        <v>21</v>
      </c>
      <c r="AD12" s="1">
        <v>4</v>
      </c>
      <c r="AE12" s="1">
        <v>105.2</v>
      </c>
      <c r="AF12" s="1">
        <v>82.3</v>
      </c>
      <c r="AG12" s="1">
        <v>50.6</v>
      </c>
      <c r="AH12" s="1">
        <v>79.6</v>
      </c>
      <c r="AI12" s="1">
        <v>85</v>
      </c>
      <c r="AJ12" s="1">
        <v>70</v>
      </c>
      <c r="AK12" s="1">
        <v>1717.05714285714</v>
      </c>
      <c r="AL12" s="1">
        <v>65.4</v>
      </c>
      <c r="AM12" s="1">
        <v>1.84</v>
      </c>
      <c r="AN12" s="1">
        <v>2.08</v>
      </c>
      <c r="AO12" s="1">
        <v>2.14</v>
      </c>
      <c r="AP12" s="1">
        <v>1.14</v>
      </c>
      <c r="AQ12" s="1">
        <v>1.79</v>
      </c>
      <c r="AR12" s="1">
        <v>1.1</v>
      </c>
      <c r="AS12" s="1">
        <v>2.64</v>
      </c>
      <c r="AT12" s="1">
        <v>1700000000</v>
      </c>
      <c r="AU12" s="1">
        <v>1.052</v>
      </c>
      <c r="AV12" s="1">
        <v>834200000000</v>
      </c>
      <c r="AW12" s="1">
        <v>877578400000</v>
      </c>
      <c r="AX12" s="1">
        <v>11700000</v>
      </c>
      <c r="AY12" s="1">
        <v>0.0472722454545455</v>
      </c>
      <c r="AZ12" s="1">
        <v>0.0138521</v>
      </c>
      <c r="BA12" s="1">
        <v>0.0352306762697811</v>
      </c>
      <c r="BB12" s="1">
        <v>-0.0417583</v>
      </c>
      <c r="BC12" s="1">
        <v>0.0527309</v>
      </c>
      <c r="BD12" s="1">
        <v>0.0543731</v>
      </c>
      <c r="BE12" s="9">
        <v>0.0077600691272888</v>
      </c>
      <c r="BF12" s="9">
        <f t="shared" si="0"/>
        <v>0.636960920099326</v>
      </c>
    </row>
    <row r="13" spans="1:58">
      <c r="A13" s="1" t="s">
        <v>87</v>
      </c>
      <c r="B13" s="1" t="s">
        <v>62</v>
      </c>
      <c r="C13" s="1" t="s">
        <v>63</v>
      </c>
      <c r="D13" s="1">
        <v>2023</v>
      </c>
      <c r="E13" s="1">
        <v>0.698</v>
      </c>
      <c r="F13" s="1">
        <v>2023</v>
      </c>
      <c r="G13" s="1">
        <v>0.544809</v>
      </c>
      <c r="H13" s="1">
        <v>2023</v>
      </c>
      <c r="I13" s="1">
        <v>0.278</v>
      </c>
      <c r="J13" s="1">
        <v>2023</v>
      </c>
      <c r="K13" s="1">
        <v>72.9753</v>
      </c>
      <c r="L13" s="1">
        <v>2022</v>
      </c>
      <c r="M13" s="1">
        <v>-0.381970435</v>
      </c>
      <c r="N13" s="1">
        <v>2025</v>
      </c>
      <c r="O13" s="1">
        <v>71</v>
      </c>
      <c r="P13" s="1" t="s">
        <v>88</v>
      </c>
      <c r="Q13" s="1">
        <v>0.057</v>
      </c>
      <c r="R13" s="1">
        <v>0.046</v>
      </c>
      <c r="S13" s="1">
        <v>69.7</v>
      </c>
      <c r="T13" s="1">
        <v>2023</v>
      </c>
      <c r="U13" s="1">
        <v>0.698</v>
      </c>
      <c r="V13" s="1">
        <v>2023</v>
      </c>
      <c r="W13" s="1">
        <v>0.526075</v>
      </c>
      <c r="X13" s="1">
        <v>2023</v>
      </c>
      <c r="Y13" s="1">
        <v>0.278</v>
      </c>
      <c r="Z13" s="1">
        <v>2023</v>
      </c>
      <c r="AA13" s="1">
        <v>72.9753</v>
      </c>
      <c r="AB13" s="1">
        <v>71</v>
      </c>
      <c r="AC13" s="1">
        <v>18</v>
      </c>
      <c r="AD13" s="1">
        <v>88</v>
      </c>
      <c r="AE13" s="1">
        <v>116.1</v>
      </c>
      <c r="AF13" s="1">
        <v>67.2</v>
      </c>
      <c r="AG13" s="1">
        <v>83.4</v>
      </c>
      <c r="AH13" s="1">
        <v>63</v>
      </c>
      <c r="AI13" s="1">
        <v>20</v>
      </c>
      <c r="AJ13" s="1">
        <v>30</v>
      </c>
      <c r="AK13" s="1">
        <v>2003</v>
      </c>
      <c r="AL13" s="1">
        <v>16.5413793103448</v>
      </c>
      <c r="AM13" s="1">
        <v>3.23421052631579</v>
      </c>
      <c r="AN13" s="1">
        <v>3.68526315789474</v>
      </c>
      <c r="AO13" s="1">
        <v>3.41421052631579</v>
      </c>
      <c r="AP13" s="1">
        <v>2.82368421052632</v>
      </c>
      <c r="AQ13" s="1">
        <v>2.72947368421053</v>
      </c>
      <c r="AR13" s="1">
        <v>2.78368421052632</v>
      </c>
      <c r="AS13" s="1">
        <v>3.93555555555556</v>
      </c>
      <c r="AT13" s="1">
        <v>11000000</v>
      </c>
      <c r="AU13" s="1">
        <v>1.161</v>
      </c>
      <c r="AV13" s="1">
        <v>12000000000</v>
      </c>
      <c r="AW13" s="1">
        <v>13932000000</v>
      </c>
      <c r="AX13" s="1">
        <v>800000</v>
      </c>
      <c r="BE13" s="9"/>
      <c r="BF13" s="9" t="str">
        <f t="shared" si="0"/>
        <v/>
      </c>
    </row>
    <row r="14" spans="1:58">
      <c r="A14" s="1" t="s">
        <v>89</v>
      </c>
      <c r="B14" s="1" t="s">
        <v>65</v>
      </c>
      <c r="C14" s="1" t="s">
        <v>66</v>
      </c>
      <c r="D14" s="1">
        <v>2023</v>
      </c>
      <c r="E14" s="1">
        <v>0.804</v>
      </c>
      <c r="F14" s="1">
        <v>2023</v>
      </c>
      <c r="G14" s="1">
        <v>0.435983</v>
      </c>
      <c r="H14" s="1">
        <v>2023</v>
      </c>
      <c r="I14" s="1">
        <v>0.157</v>
      </c>
      <c r="J14" s="1">
        <v>2023</v>
      </c>
      <c r="K14" s="1">
        <v>77.8504</v>
      </c>
      <c r="L14" s="1">
        <v>2022</v>
      </c>
      <c r="M14" s="1">
        <v>-0.157615319</v>
      </c>
      <c r="N14" s="1">
        <v>2025</v>
      </c>
      <c r="O14" s="1">
        <v>34</v>
      </c>
      <c r="P14" s="1" t="s">
        <v>90</v>
      </c>
      <c r="Q14" s="1">
        <v>0.104</v>
      </c>
      <c r="R14" s="1">
        <v>0.061</v>
      </c>
      <c r="S14" s="1">
        <v>48.3</v>
      </c>
      <c r="T14" s="1">
        <v>2023</v>
      </c>
      <c r="U14" s="1">
        <v>0.804</v>
      </c>
      <c r="V14" s="1">
        <v>2023</v>
      </c>
      <c r="W14" s="1">
        <v>0.476964</v>
      </c>
      <c r="X14" s="1">
        <v>2023</v>
      </c>
      <c r="Y14" s="1">
        <v>0.157</v>
      </c>
      <c r="Z14" s="1">
        <v>2023</v>
      </c>
      <c r="AA14" s="1">
        <v>77.8504</v>
      </c>
      <c r="AB14" s="1">
        <v>34</v>
      </c>
      <c r="AC14" s="1">
        <v>109</v>
      </c>
      <c r="AD14" s="1">
        <v>175</v>
      </c>
      <c r="AE14" s="1">
        <v>32.2</v>
      </c>
      <c r="AF14" s="1">
        <v>67.1</v>
      </c>
      <c r="AG14" s="1">
        <v>93.6</v>
      </c>
      <c r="AH14" s="1">
        <v>70</v>
      </c>
      <c r="AI14" s="1">
        <v>65</v>
      </c>
      <c r="AJ14" s="1">
        <v>60</v>
      </c>
      <c r="AK14" s="1">
        <v>2001</v>
      </c>
      <c r="AL14" s="1">
        <v>43.696875</v>
      </c>
      <c r="AM14" s="1">
        <v>2.2616</v>
      </c>
      <c r="AN14" s="1">
        <v>2.8232</v>
      </c>
      <c r="AO14" s="1">
        <v>2.538</v>
      </c>
      <c r="AP14" s="1">
        <v>2.2348</v>
      </c>
      <c r="AQ14" s="1">
        <v>1.734</v>
      </c>
      <c r="AR14" s="1">
        <v>1.4236</v>
      </c>
      <c r="AS14" s="1">
        <v>2.926</v>
      </c>
      <c r="AT14" s="1">
        <v>661000000</v>
      </c>
      <c r="AU14" s="1">
        <v>0.322</v>
      </c>
      <c r="AV14" s="1">
        <v>70800000000</v>
      </c>
      <c r="AW14" s="1">
        <v>22797600000</v>
      </c>
      <c r="AX14" s="1">
        <v>3500000</v>
      </c>
      <c r="BE14" s="9">
        <v>0.0841434946547197</v>
      </c>
      <c r="BF14" s="9">
        <f t="shared" si="0"/>
        <v>-0.76165877322468</v>
      </c>
    </row>
    <row r="15" spans="1:58">
      <c r="A15" s="1" t="s">
        <v>91</v>
      </c>
      <c r="B15" s="1" t="s">
        <v>92</v>
      </c>
      <c r="C15" s="1" t="s">
        <v>63</v>
      </c>
      <c r="D15" s="1">
        <v>2023</v>
      </c>
      <c r="E15" s="1">
        <v>0.837</v>
      </c>
      <c r="F15" s="1">
        <v>2023</v>
      </c>
      <c r="G15" s="1">
        <v>0.445655</v>
      </c>
      <c r="H15" s="1">
        <v>2023</v>
      </c>
      <c r="I15" s="1">
        <v>0.257</v>
      </c>
      <c r="J15" s="1">
        <v>2023</v>
      </c>
      <c r="K15" s="1">
        <v>75.3266</v>
      </c>
      <c r="L15" s="1">
        <v>2022</v>
      </c>
      <c r="M15" s="1">
        <v>-0.0946318026285714</v>
      </c>
      <c r="N15" s="1">
        <v>2025</v>
      </c>
      <c r="O15" s="1">
        <v>39.2325581395349</v>
      </c>
      <c r="P15" s="1" t="s">
        <v>93</v>
      </c>
      <c r="Q15" s="1">
        <v>0.053</v>
      </c>
      <c r="R15" s="1">
        <v>0.004</v>
      </c>
      <c r="S15" s="1">
        <v>69.7</v>
      </c>
      <c r="T15" s="1">
        <v>2023</v>
      </c>
      <c r="U15" s="1">
        <v>0.837</v>
      </c>
      <c r="V15" s="1">
        <v>2023</v>
      </c>
      <c r="W15" s="1">
        <v>0.439552</v>
      </c>
      <c r="X15" s="1">
        <v>2023</v>
      </c>
      <c r="Y15" s="1">
        <v>0.257</v>
      </c>
      <c r="Z15" s="1">
        <v>2023</v>
      </c>
      <c r="AA15" s="1">
        <v>75.3266</v>
      </c>
      <c r="AB15" s="1">
        <v>39.2325581395349</v>
      </c>
      <c r="AC15" s="1">
        <v>99.046511627907</v>
      </c>
      <c r="AD15" s="1">
        <v>47</v>
      </c>
      <c r="AE15" s="1">
        <v>2.3</v>
      </c>
      <c r="AF15" s="1">
        <v>77.1</v>
      </c>
      <c r="AG15" s="1">
        <v>95</v>
      </c>
      <c r="AH15" s="1">
        <v>84.8</v>
      </c>
      <c r="AI15" s="1">
        <v>65</v>
      </c>
      <c r="AJ15" s="1">
        <v>50</v>
      </c>
      <c r="AK15" s="1">
        <v>2005</v>
      </c>
      <c r="AL15" s="1">
        <v>16.5413793103448</v>
      </c>
      <c r="AM15" s="1">
        <v>3.23421052631579</v>
      </c>
      <c r="AN15" s="1">
        <v>3.68526315789474</v>
      </c>
      <c r="AO15" s="1">
        <v>3.41421052631579</v>
      </c>
      <c r="AP15" s="1">
        <v>2.82368421052632</v>
      </c>
      <c r="AQ15" s="1">
        <v>2.72947368421053</v>
      </c>
      <c r="AR15" s="1">
        <v>2.78368421052632</v>
      </c>
      <c r="AS15" s="1">
        <v>3.93555555555556</v>
      </c>
      <c r="AT15" s="1">
        <v>292000000</v>
      </c>
      <c r="AU15" s="1">
        <v>0.023</v>
      </c>
      <c r="AV15" s="1">
        <v>39100000000</v>
      </c>
      <c r="AW15" s="1">
        <v>899300000</v>
      </c>
      <c r="AX15" s="1">
        <v>500000</v>
      </c>
      <c r="BE15" s="9">
        <v>0.0077600691272888</v>
      </c>
      <c r="BF15" s="9">
        <f t="shared" si="0"/>
        <v>0.636960920099326</v>
      </c>
    </row>
    <row r="16" spans="1:58">
      <c r="A16" s="1" t="s">
        <v>94</v>
      </c>
      <c r="B16" s="1" t="s">
        <v>65</v>
      </c>
      <c r="C16" s="1" t="s">
        <v>66</v>
      </c>
      <c r="D16" s="1">
        <v>2023</v>
      </c>
      <c r="E16" s="1">
        <v>0.845</v>
      </c>
      <c r="F16" s="1">
        <v>2023</v>
      </c>
      <c r="G16" s="1">
        <v>0.473373</v>
      </c>
      <c r="H16" s="1">
        <v>2023</v>
      </c>
      <c r="I16" s="1">
        <v>0.208</v>
      </c>
      <c r="J16" s="1">
        <v>2023</v>
      </c>
      <c r="K16" s="1">
        <v>75.6363</v>
      </c>
      <c r="L16" s="1">
        <v>2022</v>
      </c>
      <c r="M16" s="1">
        <v>0.320686907</v>
      </c>
      <c r="N16" s="1">
        <v>2025</v>
      </c>
      <c r="O16" s="1">
        <v>40</v>
      </c>
      <c r="P16" s="1" t="s">
        <v>95</v>
      </c>
      <c r="Q16" s="1">
        <v>0.043</v>
      </c>
      <c r="R16" s="1">
        <v>0.086</v>
      </c>
      <c r="S16" s="1">
        <v>75.7</v>
      </c>
      <c r="T16" s="1">
        <v>2023</v>
      </c>
      <c r="U16" s="1">
        <v>0.845</v>
      </c>
      <c r="V16" s="1">
        <v>2023</v>
      </c>
      <c r="W16" s="1">
        <v>0.50994</v>
      </c>
      <c r="X16" s="1">
        <v>2023</v>
      </c>
      <c r="Y16" s="1">
        <v>0.208</v>
      </c>
      <c r="Z16" s="1">
        <v>2023</v>
      </c>
      <c r="AA16" s="1">
        <v>75.6363</v>
      </c>
      <c r="AB16" s="1">
        <v>40</v>
      </c>
      <c r="AC16" s="1">
        <v>84</v>
      </c>
      <c r="AD16" s="1">
        <v>134</v>
      </c>
      <c r="AE16" s="1">
        <v>22</v>
      </c>
      <c r="AF16" s="1">
        <v>74.9</v>
      </c>
      <c r="AG16" s="1">
        <v>94.2</v>
      </c>
      <c r="AH16" s="1">
        <v>79.6</v>
      </c>
      <c r="AI16" s="1">
        <v>60</v>
      </c>
      <c r="AJ16" s="1">
        <v>50</v>
      </c>
      <c r="AK16" s="1">
        <v>1717.05714285714</v>
      </c>
      <c r="AL16" s="1">
        <v>4.7</v>
      </c>
      <c r="AM16" s="1">
        <v>2.91</v>
      </c>
      <c r="AN16" s="1">
        <v>3.72</v>
      </c>
      <c r="AO16" s="1">
        <v>3.01</v>
      </c>
      <c r="AP16" s="1">
        <v>3.19</v>
      </c>
      <c r="AQ16" s="1">
        <v>2.15</v>
      </c>
      <c r="AR16" s="1">
        <v>1.92</v>
      </c>
      <c r="AS16" s="1">
        <v>3.73</v>
      </c>
      <c r="AT16" s="1">
        <v>2500000000</v>
      </c>
      <c r="AU16" s="1">
        <v>0.22</v>
      </c>
      <c r="AV16" s="1">
        <v>237600000000</v>
      </c>
      <c r="AW16" s="1">
        <v>52272000000</v>
      </c>
      <c r="AX16" s="1">
        <v>6400000</v>
      </c>
      <c r="BE16" s="9">
        <v>0.0206935176727701</v>
      </c>
      <c r="BF16" s="9">
        <f t="shared" si="0"/>
        <v>0.400142844536497</v>
      </c>
    </row>
    <row r="17" spans="1:58">
      <c r="A17" s="1" t="s">
        <v>96</v>
      </c>
      <c r="B17" s="1" t="s">
        <v>92</v>
      </c>
      <c r="C17" s="1" t="s">
        <v>63</v>
      </c>
      <c r="D17" s="1">
        <v>2023</v>
      </c>
      <c r="E17" s="1">
        <v>0.606</v>
      </c>
      <c r="F17" s="1">
        <v>2023</v>
      </c>
      <c r="G17" s="1">
        <v>0.547713</v>
      </c>
      <c r="H17" s="1">
        <v>2023</v>
      </c>
      <c r="I17" s="1">
        <v>0.506</v>
      </c>
      <c r="J17" s="1">
        <v>2023</v>
      </c>
      <c r="K17" s="1">
        <v>70.6675</v>
      </c>
      <c r="L17" s="1">
        <v>2022</v>
      </c>
      <c r="M17" s="1">
        <v>-0.709801018</v>
      </c>
      <c r="N17" s="1">
        <v>2025</v>
      </c>
      <c r="O17" s="1">
        <v>20</v>
      </c>
      <c r="P17" s="1" t="s">
        <v>97</v>
      </c>
      <c r="Q17" s="1">
        <v>0.002</v>
      </c>
      <c r="R17" s="1">
        <v>0.021</v>
      </c>
      <c r="S17" s="1">
        <v>41.7</v>
      </c>
      <c r="T17" s="1">
        <v>2023</v>
      </c>
      <c r="U17" s="1">
        <v>0.606</v>
      </c>
      <c r="V17" s="1">
        <v>2023</v>
      </c>
      <c r="W17" s="1">
        <v>0.580467</v>
      </c>
      <c r="X17" s="1">
        <v>2023</v>
      </c>
      <c r="Y17" s="1">
        <v>0.506</v>
      </c>
      <c r="Z17" s="1">
        <v>2023</v>
      </c>
      <c r="AA17" s="1">
        <v>70.6675</v>
      </c>
      <c r="AB17" s="1">
        <v>20</v>
      </c>
      <c r="AC17" s="1">
        <v>163</v>
      </c>
      <c r="AD17" s="1">
        <v>120</v>
      </c>
      <c r="AE17" s="1">
        <v>25.7</v>
      </c>
      <c r="AF17" s="1">
        <v>61</v>
      </c>
      <c r="AG17" s="1">
        <v>89.8</v>
      </c>
      <c r="AH17" s="1">
        <v>69.2</v>
      </c>
      <c r="AI17" s="1">
        <v>50</v>
      </c>
      <c r="AJ17" s="1">
        <v>50</v>
      </c>
      <c r="AK17" s="1">
        <v>2000.75</v>
      </c>
      <c r="AL17" s="1">
        <v>1</v>
      </c>
      <c r="AM17" s="1">
        <v>3.23421052631579</v>
      </c>
      <c r="AN17" s="1">
        <v>3.68526315789474</v>
      </c>
      <c r="AO17" s="1">
        <v>3.41421052631579</v>
      </c>
      <c r="AP17" s="1">
        <v>2.82368421052632</v>
      </c>
      <c r="AQ17" s="1">
        <v>2.72947368421053</v>
      </c>
      <c r="AR17" s="1">
        <v>2.78368421052632</v>
      </c>
      <c r="AS17" s="1">
        <v>3.93555555555556</v>
      </c>
      <c r="AT17" s="1">
        <v>3600000000</v>
      </c>
      <c r="AU17" s="1">
        <v>0.257</v>
      </c>
      <c r="AV17" s="1">
        <v>129400000000</v>
      </c>
      <c r="AW17" s="1">
        <v>33255800000</v>
      </c>
      <c r="AX17" s="1">
        <v>17000000</v>
      </c>
      <c r="BE17" s="9">
        <v>0.0712100461092384</v>
      </c>
      <c r="BF17" s="9">
        <f t="shared" si="0"/>
        <v>-0.52484069766185</v>
      </c>
    </row>
    <row r="18" spans="1:58">
      <c r="A18" s="1" t="s">
        <v>98</v>
      </c>
      <c r="B18" s="1" t="s">
        <v>99</v>
      </c>
      <c r="C18" s="1" t="s">
        <v>63</v>
      </c>
      <c r="D18" s="1">
        <v>2023</v>
      </c>
      <c r="E18" s="1">
        <v>0.797</v>
      </c>
      <c r="F18" s="1">
        <v>2023</v>
      </c>
      <c r="G18" s="1">
        <v>0.535365</v>
      </c>
      <c r="H18" s="1">
        <v>2023</v>
      </c>
      <c r="I18" s="1">
        <v>0.132</v>
      </c>
      <c r="J18" s="1">
        <v>2023</v>
      </c>
      <c r="K18" s="1">
        <v>77.9529</v>
      </c>
      <c r="L18" s="1">
        <v>2022</v>
      </c>
      <c r="M18" s="1">
        <v>-0.418417633</v>
      </c>
      <c r="N18" s="1">
        <v>2025</v>
      </c>
      <c r="O18" s="1">
        <v>43</v>
      </c>
      <c r="P18" s="1" t="s">
        <v>100</v>
      </c>
      <c r="Q18" s="1">
        <v>0.047</v>
      </c>
      <c r="R18" s="1">
        <v>0.002</v>
      </c>
      <c r="S18" s="1">
        <v>46.7</v>
      </c>
      <c r="T18" s="1">
        <v>2023</v>
      </c>
      <c r="U18" s="1">
        <v>0.797</v>
      </c>
      <c r="V18" s="1">
        <v>2023</v>
      </c>
      <c r="W18" s="1">
        <v>0.56464</v>
      </c>
      <c r="X18" s="1">
        <v>2023</v>
      </c>
      <c r="Y18" s="1">
        <v>0.132</v>
      </c>
      <c r="Z18" s="1">
        <v>2023</v>
      </c>
      <c r="AA18" s="1">
        <v>77.9529</v>
      </c>
      <c r="AB18" s="1">
        <v>43</v>
      </c>
      <c r="AC18" s="1">
        <v>76</v>
      </c>
      <c r="AD18" s="1">
        <v>13</v>
      </c>
      <c r="AE18" s="1">
        <v>84.4</v>
      </c>
      <c r="AF18" s="1">
        <v>67.7</v>
      </c>
      <c r="AG18" s="1">
        <v>71.6</v>
      </c>
      <c r="AH18" s="1">
        <v>74</v>
      </c>
      <c r="AI18" s="1">
        <v>20</v>
      </c>
      <c r="AJ18" s="1">
        <v>20</v>
      </c>
      <c r="AK18" s="1">
        <v>2000.75</v>
      </c>
      <c r="AL18" s="1">
        <v>47.2</v>
      </c>
      <c r="AM18" s="1">
        <v>3.23421052631579</v>
      </c>
      <c r="AN18" s="1">
        <v>3.68526315789474</v>
      </c>
      <c r="AO18" s="1">
        <v>3.41421052631579</v>
      </c>
      <c r="AP18" s="1">
        <v>2.82368421052632</v>
      </c>
      <c r="AQ18" s="1">
        <v>2.72947368421053</v>
      </c>
      <c r="AR18" s="1">
        <v>2.78368421052632</v>
      </c>
      <c r="AS18" s="1">
        <v>3.93555555555556</v>
      </c>
      <c r="AT18" s="1">
        <v>189100000000</v>
      </c>
      <c r="AU18" s="1">
        <v>0.844</v>
      </c>
      <c r="AV18" s="1">
        <v>34.5</v>
      </c>
      <c r="AW18" s="1">
        <v>29.118</v>
      </c>
      <c r="AX18" s="1">
        <v>1400000000</v>
      </c>
      <c r="BE18" s="9">
        <v>0.009129493090928</v>
      </c>
      <c r="BF18" s="9">
        <f t="shared" si="0"/>
        <v>0.611886065039733</v>
      </c>
    </row>
    <row r="19" spans="1:58">
      <c r="A19" s="1" t="s">
        <v>101</v>
      </c>
      <c r="B19" s="1" t="s">
        <v>69</v>
      </c>
      <c r="C19" s="1" t="s">
        <v>66</v>
      </c>
      <c r="D19" s="1">
        <v>2023</v>
      </c>
      <c r="E19" s="1">
        <v>0.889</v>
      </c>
      <c r="F19" s="1">
        <v>2023</v>
      </c>
      <c r="G19" s="1">
        <v>0.343611</v>
      </c>
      <c r="H19" s="1">
        <v>2023</v>
      </c>
      <c r="I19" s="1">
        <v>0.074</v>
      </c>
      <c r="J19" s="1">
        <v>2023</v>
      </c>
      <c r="K19" s="1">
        <v>78.5803</v>
      </c>
      <c r="L19" s="1">
        <v>2022</v>
      </c>
      <c r="M19" s="1">
        <v>0.502549887</v>
      </c>
      <c r="N19" s="1">
        <v>2025</v>
      </c>
      <c r="O19" s="1">
        <v>47</v>
      </c>
      <c r="P19" s="1" t="s">
        <v>102</v>
      </c>
      <c r="Q19" s="1">
        <v>0.061</v>
      </c>
      <c r="R19" s="1">
        <v>0.084</v>
      </c>
      <c r="S19" s="1">
        <v>81.3</v>
      </c>
      <c r="T19" s="1">
        <v>2023</v>
      </c>
      <c r="U19" s="1">
        <v>0.889</v>
      </c>
      <c r="V19" s="1">
        <v>2023</v>
      </c>
      <c r="W19" s="1">
        <v>0.450914</v>
      </c>
      <c r="X19" s="1">
        <v>2023</v>
      </c>
      <c r="Y19" s="1">
        <v>0.074</v>
      </c>
      <c r="Z19" s="1">
        <v>2023</v>
      </c>
      <c r="AA19" s="1">
        <v>78.5803</v>
      </c>
      <c r="AB19" s="1">
        <v>47</v>
      </c>
      <c r="AC19" s="1">
        <v>63</v>
      </c>
      <c r="AD19" s="1">
        <v>76</v>
      </c>
      <c r="AE19" s="1">
        <v>63</v>
      </c>
      <c r="AF19" s="1">
        <v>80.4</v>
      </c>
      <c r="AG19" s="1">
        <v>77.3</v>
      </c>
      <c r="AH19" s="1">
        <v>79.6</v>
      </c>
      <c r="AI19" s="1">
        <v>60</v>
      </c>
      <c r="AJ19" s="1">
        <v>60</v>
      </c>
      <c r="AK19" s="1">
        <v>1717.05714285714</v>
      </c>
      <c r="AL19" s="1">
        <v>12.4</v>
      </c>
      <c r="AM19" s="1">
        <v>2.92</v>
      </c>
      <c r="AN19" s="1">
        <v>4.22</v>
      </c>
      <c r="AO19" s="1">
        <v>3.17</v>
      </c>
      <c r="AP19" s="1">
        <v>3.05</v>
      </c>
      <c r="AQ19" s="1">
        <v>1.93</v>
      </c>
      <c r="AR19" s="1">
        <v>1.62</v>
      </c>
      <c r="AS19" s="1">
        <v>3.41</v>
      </c>
      <c r="AT19" s="1">
        <v>3700000000</v>
      </c>
      <c r="AU19" s="1">
        <v>0.63</v>
      </c>
      <c r="AV19" s="1">
        <v>176800000000</v>
      </c>
      <c r="AW19" s="1">
        <v>111384000000</v>
      </c>
      <c r="AX19" s="1">
        <v>3800000</v>
      </c>
      <c r="BE19" s="9">
        <v>0.0155201382545776</v>
      </c>
      <c r="BF19" s="9">
        <f t="shared" si="0"/>
        <v>0.494870074761629</v>
      </c>
    </row>
    <row r="20" spans="1:58">
      <c r="A20" s="1" t="s">
        <v>103</v>
      </c>
      <c r="B20" s="1" t="s">
        <v>69</v>
      </c>
      <c r="C20" s="1" t="s">
        <v>66</v>
      </c>
      <c r="D20" s="1">
        <v>2023</v>
      </c>
      <c r="E20" s="1">
        <v>0.913</v>
      </c>
      <c r="F20" s="1">
        <v>2023</v>
      </c>
      <c r="G20" s="1">
        <v>0.302192</v>
      </c>
      <c r="H20" s="1">
        <v>2023</v>
      </c>
      <c r="I20" s="1">
        <v>0.252</v>
      </c>
      <c r="J20" s="1">
        <v>2023</v>
      </c>
      <c r="K20" s="1">
        <v>81.648</v>
      </c>
      <c r="L20" s="1">
        <v>2022</v>
      </c>
      <c r="M20" s="1">
        <v>0.773753822</v>
      </c>
      <c r="N20" s="1">
        <v>2025</v>
      </c>
      <c r="O20" s="1">
        <v>55</v>
      </c>
      <c r="P20" s="1" t="s">
        <v>104</v>
      </c>
      <c r="Q20" s="1">
        <v>0.06</v>
      </c>
      <c r="R20" s="1">
        <v>0.039</v>
      </c>
      <c r="S20" s="1">
        <v>83.7</v>
      </c>
      <c r="T20" s="1">
        <v>2023</v>
      </c>
      <c r="U20" s="1">
        <v>0.913</v>
      </c>
      <c r="V20" s="1">
        <v>2023</v>
      </c>
      <c r="W20" s="1">
        <v>0.443513</v>
      </c>
      <c r="X20" s="1">
        <v>2023</v>
      </c>
      <c r="Y20" s="1">
        <v>0.252</v>
      </c>
      <c r="Z20" s="1">
        <v>2023</v>
      </c>
      <c r="AA20" s="1">
        <v>81.648</v>
      </c>
      <c r="AB20" s="1">
        <v>55</v>
      </c>
      <c r="AC20" s="1">
        <v>49</v>
      </c>
      <c r="AD20" s="1">
        <v>163</v>
      </c>
      <c r="AE20" s="1">
        <v>77.3</v>
      </c>
      <c r="AF20" s="1">
        <v>78.9</v>
      </c>
      <c r="AG20" s="1">
        <v>79.9</v>
      </c>
      <c r="AH20" s="1">
        <v>79.6</v>
      </c>
      <c r="AI20" s="1">
        <v>75</v>
      </c>
      <c r="AJ20" s="1">
        <v>60</v>
      </c>
      <c r="AK20" s="1">
        <v>2004</v>
      </c>
      <c r="AL20" s="1">
        <v>6.4</v>
      </c>
      <c r="AM20" s="1">
        <v>2.2616</v>
      </c>
      <c r="AN20" s="1">
        <v>2.8232</v>
      </c>
      <c r="AO20" s="1">
        <v>2.538</v>
      </c>
      <c r="AP20" s="1">
        <v>2.2348</v>
      </c>
      <c r="AQ20" s="1">
        <v>1.734</v>
      </c>
      <c r="AR20" s="1">
        <v>1.4236</v>
      </c>
      <c r="AS20" s="1">
        <v>2.926</v>
      </c>
      <c r="AT20" s="1">
        <v>4900000000</v>
      </c>
      <c r="AU20" s="1">
        <v>0.773</v>
      </c>
      <c r="AV20" s="1">
        <v>52100000000</v>
      </c>
      <c r="AW20" s="1">
        <v>40273300000</v>
      </c>
      <c r="AX20" s="1">
        <v>900000</v>
      </c>
      <c r="BE20" s="9">
        <v>0.0155201382545776</v>
      </c>
      <c r="BF20" s="9">
        <f t="shared" si="0"/>
        <v>0.494870074761629</v>
      </c>
    </row>
    <row r="21" spans="1:58">
      <c r="A21" s="7" t="s">
        <v>105</v>
      </c>
      <c r="B21" s="1" t="s">
        <v>65</v>
      </c>
      <c r="C21" s="1" t="s">
        <v>66</v>
      </c>
      <c r="D21" s="1">
        <v>2023</v>
      </c>
      <c r="E21" s="1">
        <v>0.915</v>
      </c>
      <c r="F21" s="1">
        <v>2023</v>
      </c>
      <c r="G21" s="1">
        <v>0.255804</v>
      </c>
      <c r="H21" s="1">
        <v>2023</v>
      </c>
      <c r="I21" s="1">
        <v>0.088</v>
      </c>
      <c r="J21" s="1">
        <v>2023</v>
      </c>
      <c r="K21" s="1">
        <v>79.8341</v>
      </c>
      <c r="L21" s="1">
        <v>2022</v>
      </c>
      <c r="M21" s="1">
        <v>1.385898352</v>
      </c>
      <c r="N21" s="1">
        <v>2025</v>
      </c>
      <c r="O21" s="1">
        <v>59</v>
      </c>
      <c r="P21" s="1">
        <v>10900000</v>
      </c>
      <c r="Q21" s="1">
        <v>0.0611052631578947</v>
      </c>
      <c r="R21" s="1">
        <v>0.0709736842105263</v>
      </c>
      <c r="S21" s="1">
        <v>79.3974358974359</v>
      </c>
      <c r="T21" s="1">
        <v>2023</v>
      </c>
      <c r="U21" s="1">
        <v>0.915</v>
      </c>
      <c r="V21" s="1">
        <v>2023</v>
      </c>
      <c r="W21" s="1">
        <v>0.332545</v>
      </c>
      <c r="X21" s="1">
        <v>2023</v>
      </c>
      <c r="Y21" s="1">
        <v>0.088</v>
      </c>
      <c r="Z21" s="1">
        <v>2023</v>
      </c>
      <c r="AA21" s="1">
        <v>79.8341</v>
      </c>
      <c r="AB21" s="1">
        <v>59</v>
      </c>
      <c r="AC21" s="1">
        <v>39</v>
      </c>
      <c r="AD21" s="1">
        <v>34</v>
      </c>
      <c r="AE21" s="1">
        <v>61.8447368421053</v>
      </c>
      <c r="AF21" s="1">
        <v>78.9837837837838</v>
      </c>
      <c r="AG21" s="1">
        <v>71.4578947368421</v>
      </c>
      <c r="AH21" s="1">
        <v>79.5421052631579</v>
      </c>
      <c r="AI21" s="1">
        <v>71.1842105263158</v>
      </c>
      <c r="AJ21" s="1">
        <v>112.794871794872</v>
      </c>
      <c r="AK21" s="1">
        <v>2003</v>
      </c>
      <c r="AL21" s="1">
        <v>18.7</v>
      </c>
      <c r="AM21" s="1">
        <v>2.2616</v>
      </c>
      <c r="AN21" s="1">
        <v>2.8232</v>
      </c>
      <c r="AO21" s="1">
        <v>2.538</v>
      </c>
      <c r="AP21" s="1">
        <v>2.2348</v>
      </c>
      <c r="AQ21" s="1">
        <v>1.734</v>
      </c>
      <c r="AR21" s="1">
        <v>1.4236</v>
      </c>
      <c r="AS21" s="1">
        <v>2.926</v>
      </c>
      <c r="AT21" s="1">
        <v>18657710526.3158</v>
      </c>
      <c r="AU21" s="1">
        <v>0.618447368421053</v>
      </c>
      <c r="AV21" s="1">
        <v>258984210527.103</v>
      </c>
      <c r="AW21" s="1">
        <v>160168103463.091</v>
      </c>
      <c r="AX21" s="1">
        <v>10900000</v>
      </c>
      <c r="AY21" s="1">
        <v>0.0871459636363636</v>
      </c>
      <c r="AZ21" s="1">
        <v>0.04151</v>
      </c>
      <c r="BA21" s="1">
        <v>0.0416044491494331</v>
      </c>
      <c r="BB21" s="1">
        <v>0.0033402</v>
      </c>
      <c r="BC21" s="1">
        <v>0.0490162727272727</v>
      </c>
      <c r="BD21" s="1">
        <v>0.0477947</v>
      </c>
      <c r="BE21" s="9">
        <v>0.0077600691272888</v>
      </c>
      <c r="BF21" s="9">
        <f t="shared" si="0"/>
        <v>0.636960920099326</v>
      </c>
    </row>
    <row r="22" ht="15.75" customHeight="1" spans="1:58">
      <c r="A22" s="7" t="s">
        <v>106</v>
      </c>
      <c r="B22" s="1" t="s">
        <v>107</v>
      </c>
      <c r="C22" s="1" t="s">
        <v>66</v>
      </c>
      <c r="D22" s="1">
        <v>2023</v>
      </c>
      <c r="E22" s="1">
        <v>0.962</v>
      </c>
      <c r="F22" s="1">
        <v>2023</v>
      </c>
      <c r="G22" s="1">
        <v>0.215152</v>
      </c>
      <c r="H22" s="1">
        <v>2023</v>
      </c>
      <c r="I22" s="1">
        <v>0.003</v>
      </c>
      <c r="J22" s="1">
        <v>2023</v>
      </c>
      <c r="K22" s="1">
        <v>81.9328</v>
      </c>
      <c r="L22" s="1">
        <v>2022</v>
      </c>
      <c r="M22" s="1">
        <v>1.843127489</v>
      </c>
      <c r="N22" s="1">
        <v>2025</v>
      </c>
      <c r="O22" s="1">
        <v>89</v>
      </c>
      <c r="P22" s="1" t="s">
        <v>108</v>
      </c>
      <c r="Q22" s="1">
        <v>0.051</v>
      </c>
      <c r="R22" s="1">
        <v>0.034</v>
      </c>
      <c r="S22" s="1">
        <v>99.3</v>
      </c>
      <c r="T22" s="1">
        <v>2023</v>
      </c>
      <c r="U22" s="1">
        <v>0.962</v>
      </c>
      <c r="V22" s="1">
        <v>2023</v>
      </c>
      <c r="W22" s="1">
        <v>0.419932</v>
      </c>
      <c r="X22" s="1">
        <v>2023</v>
      </c>
      <c r="Y22" s="1">
        <v>0.003</v>
      </c>
      <c r="Z22" s="1">
        <v>2023</v>
      </c>
      <c r="AA22" s="1">
        <v>81.9328</v>
      </c>
      <c r="AB22" s="1">
        <v>89</v>
      </c>
      <c r="AC22" s="1">
        <v>1</v>
      </c>
      <c r="AD22" s="1">
        <v>3</v>
      </c>
      <c r="AE22" s="1">
        <v>29.7</v>
      </c>
      <c r="AF22" s="1">
        <v>93</v>
      </c>
      <c r="AG22" s="1">
        <v>45</v>
      </c>
      <c r="AH22" s="1">
        <v>79.6</v>
      </c>
      <c r="AI22" s="1">
        <v>90</v>
      </c>
      <c r="AJ22" s="1">
        <v>80</v>
      </c>
      <c r="AK22" s="1">
        <v>1717.05714285714</v>
      </c>
      <c r="AL22" s="1">
        <v>100</v>
      </c>
      <c r="AM22" s="1">
        <v>2.04</v>
      </c>
      <c r="AN22" s="1">
        <v>3.23</v>
      </c>
      <c r="AO22" s="1">
        <v>2.03</v>
      </c>
      <c r="AP22" s="1">
        <v>1.9</v>
      </c>
      <c r="AQ22" s="1">
        <v>1.31</v>
      </c>
      <c r="AR22" s="1">
        <v>1</v>
      </c>
      <c r="AS22" s="1">
        <v>2.5</v>
      </c>
      <c r="AT22" s="1">
        <v>4500000000</v>
      </c>
      <c r="AU22" s="1">
        <v>0.297</v>
      </c>
      <c r="AV22" s="1">
        <v>475900000000</v>
      </c>
      <c r="AW22" s="1">
        <v>141342300000</v>
      </c>
      <c r="AX22" s="1">
        <v>5900000</v>
      </c>
      <c r="AY22" s="1">
        <v>0.0602765909090909</v>
      </c>
      <c r="AZ22" s="1">
        <v>0.0503396</v>
      </c>
      <c r="BA22" s="1">
        <v>0.0414770673269076</v>
      </c>
      <c r="BB22" s="1">
        <v>-0.0470714</v>
      </c>
      <c r="BC22" s="1">
        <v>0.039913</v>
      </c>
      <c r="BD22" s="1">
        <v>0.0407943</v>
      </c>
      <c r="BE22" s="9">
        <v>0</v>
      </c>
      <c r="BF22" s="9">
        <f t="shared" si="0"/>
        <v>0.779051765437024</v>
      </c>
    </row>
    <row r="23" ht="15.75" customHeight="1" spans="1:58">
      <c r="A23" s="1" t="s">
        <v>109</v>
      </c>
      <c r="B23" s="1" t="s">
        <v>92</v>
      </c>
      <c r="C23" s="1" t="s">
        <v>63</v>
      </c>
      <c r="D23" s="1">
        <v>2023</v>
      </c>
      <c r="E23" s="1">
        <v>0.634</v>
      </c>
      <c r="F23" s="1">
        <v>2023</v>
      </c>
      <c r="G23" s="1">
        <v>0.45768</v>
      </c>
      <c r="H23" s="1">
        <v>2023</v>
      </c>
      <c r="I23" s="1">
        <v>0.394</v>
      </c>
      <c r="J23" s="1">
        <v>2023</v>
      </c>
      <c r="K23" s="1">
        <v>67.6894</v>
      </c>
      <c r="L23" s="1">
        <v>2022</v>
      </c>
      <c r="M23" s="1">
        <v>-0.0946318026285714</v>
      </c>
      <c r="N23" s="1">
        <v>2025</v>
      </c>
      <c r="O23" s="1">
        <v>39.2325581395349</v>
      </c>
      <c r="P23" s="1">
        <v>1372000</v>
      </c>
      <c r="Q23" s="1">
        <v>0.0557</v>
      </c>
      <c r="R23" s="1">
        <v>0.133609756097561</v>
      </c>
      <c r="S23" s="1">
        <v>47.9619047619048</v>
      </c>
      <c r="T23" s="1">
        <v>2023</v>
      </c>
      <c r="U23" s="1">
        <v>0.634</v>
      </c>
      <c r="V23" s="1">
        <v>2023</v>
      </c>
      <c r="W23" s="1">
        <v>0.497355</v>
      </c>
      <c r="X23" s="1">
        <v>2023</v>
      </c>
      <c r="Y23" s="1">
        <v>0.394</v>
      </c>
      <c r="Z23" s="1">
        <v>2023</v>
      </c>
      <c r="AA23" s="1">
        <v>67.6894</v>
      </c>
      <c r="AB23" s="1">
        <v>39.2325581395349</v>
      </c>
      <c r="AC23" s="1">
        <v>99.046511627907</v>
      </c>
      <c r="AD23" s="1">
        <v>86.4782608695652</v>
      </c>
      <c r="AE23" s="1">
        <v>65.5275</v>
      </c>
      <c r="AF23" s="1">
        <v>66.3184210526316</v>
      </c>
      <c r="AG23" s="1">
        <v>85.1289473684211</v>
      </c>
      <c r="AH23" s="1">
        <v>74.0157894736842</v>
      </c>
      <c r="AI23" s="1">
        <v>50.2631578947368</v>
      </c>
      <c r="AJ23" s="1">
        <v>97.8974358974359</v>
      </c>
      <c r="AK23" s="1">
        <v>2001</v>
      </c>
      <c r="AL23" s="1">
        <v>16.5413793103448</v>
      </c>
      <c r="AM23" s="1">
        <v>3.23421052631579</v>
      </c>
      <c r="AN23" s="1">
        <v>3.68526315789474</v>
      </c>
      <c r="AO23" s="1">
        <v>3.41421052631579</v>
      </c>
      <c r="AP23" s="1">
        <v>2.82368421052632</v>
      </c>
      <c r="AQ23" s="1">
        <v>2.72947368421053</v>
      </c>
      <c r="AR23" s="1">
        <v>2.78368421052632</v>
      </c>
      <c r="AS23" s="1">
        <v>3.93555555555556</v>
      </c>
      <c r="AT23" s="1">
        <v>15892717948.718</v>
      </c>
      <c r="AU23" s="1">
        <v>0.655275</v>
      </c>
      <c r="AV23" s="1">
        <v>162341463416.554</v>
      </c>
      <c r="AW23" s="1">
        <v>106378302440.282</v>
      </c>
      <c r="AX23" s="1">
        <v>1372000</v>
      </c>
      <c r="BE23" s="9"/>
      <c r="BF23" s="9" t="str">
        <f t="shared" si="0"/>
        <v/>
      </c>
    </row>
    <row r="24" ht="15.75" customHeight="1" spans="1:58">
      <c r="A24" s="1" t="s">
        <v>110</v>
      </c>
      <c r="B24" s="1" t="s">
        <v>107</v>
      </c>
      <c r="C24" s="1" t="s">
        <v>66</v>
      </c>
      <c r="D24" s="1">
        <v>2023</v>
      </c>
      <c r="E24" s="1">
        <v>0.905</v>
      </c>
      <c r="F24" s="1">
        <v>2023</v>
      </c>
      <c r="G24" s="1">
        <v>0.405701</v>
      </c>
      <c r="H24" s="1">
        <v>2023</v>
      </c>
      <c r="I24" s="1">
        <v>0.061</v>
      </c>
      <c r="J24" s="1">
        <v>2023</v>
      </c>
      <c r="K24" s="1">
        <v>79.1535</v>
      </c>
      <c r="L24" s="1">
        <v>2022</v>
      </c>
      <c r="M24" s="1">
        <v>1.558964491</v>
      </c>
      <c r="N24" s="1">
        <v>2025</v>
      </c>
      <c r="O24" s="1">
        <v>76</v>
      </c>
      <c r="P24" s="1" t="s">
        <v>111</v>
      </c>
      <c r="Q24" s="1">
        <v>0.064</v>
      </c>
      <c r="R24" s="1">
        <v>0.091</v>
      </c>
      <c r="S24" s="1">
        <v>93.7</v>
      </c>
      <c r="T24" s="1">
        <v>2023</v>
      </c>
      <c r="U24" s="1">
        <v>0.905</v>
      </c>
      <c r="V24" s="1">
        <v>2023</v>
      </c>
      <c r="W24" s="1">
        <v>0.460754</v>
      </c>
      <c r="X24" s="1">
        <v>2023</v>
      </c>
      <c r="Y24" s="1">
        <v>0.061</v>
      </c>
      <c r="Z24" s="1">
        <v>2023</v>
      </c>
      <c r="AA24" s="1">
        <v>79.1535</v>
      </c>
      <c r="AB24" s="1">
        <v>76</v>
      </c>
      <c r="AC24" s="1">
        <v>12</v>
      </c>
      <c r="AD24" s="1">
        <v>26</v>
      </c>
      <c r="AE24" s="1">
        <v>19.3</v>
      </c>
      <c r="AF24" s="1">
        <v>83.3</v>
      </c>
      <c r="AG24" s="1">
        <v>80.8</v>
      </c>
      <c r="AH24" s="1">
        <v>79.6</v>
      </c>
      <c r="AI24" s="1">
        <v>90</v>
      </c>
      <c r="AJ24" s="1">
        <v>70</v>
      </c>
      <c r="AK24" s="1">
        <v>1717.05714285714</v>
      </c>
      <c r="AL24" s="1">
        <v>14.8</v>
      </c>
      <c r="AM24" s="1">
        <v>2.2616</v>
      </c>
      <c r="AN24" s="1">
        <v>2.8232</v>
      </c>
      <c r="AO24" s="1">
        <v>2.538</v>
      </c>
      <c r="AP24" s="1">
        <v>2.2348</v>
      </c>
      <c r="AQ24" s="1">
        <v>1.734</v>
      </c>
      <c r="AR24" s="1">
        <v>1.4236</v>
      </c>
      <c r="AS24" s="1">
        <v>2.926</v>
      </c>
      <c r="AT24" s="1">
        <v>1200000000</v>
      </c>
      <c r="AU24" s="1">
        <v>0.193</v>
      </c>
      <c r="AV24" s="1">
        <v>64600000000</v>
      </c>
      <c r="AW24" s="1">
        <v>12467800000</v>
      </c>
      <c r="AX24" s="1">
        <v>1400000</v>
      </c>
      <c r="BE24" s="9">
        <v>0.009129493090928</v>
      </c>
      <c r="BF24" s="9">
        <f t="shared" si="0"/>
        <v>0.611886065039733</v>
      </c>
    </row>
    <row r="25" ht="15.75" customHeight="1" spans="1:58">
      <c r="A25" s="1" t="s">
        <v>112</v>
      </c>
      <c r="B25" s="1" t="s">
        <v>107</v>
      </c>
      <c r="C25" s="1" t="s">
        <v>66</v>
      </c>
      <c r="D25" s="1">
        <v>2023</v>
      </c>
      <c r="E25" s="1">
        <v>0.948</v>
      </c>
      <c r="F25" s="1">
        <v>2023</v>
      </c>
      <c r="G25" s="1">
        <v>0.276127</v>
      </c>
      <c r="H25" s="1">
        <v>2023</v>
      </c>
      <c r="I25" s="1">
        <v>0.021</v>
      </c>
      <c r="J25" s="1">
        <v>2023</v>
      </c>
      <c r="K25" s="1">
        <v>81.9102</v>
      </c>
      <c r="L25" s="1">
        <v>2022</v>
      </c>
      <c r="M25" s="1">
        <v>1.77915287</v>
      </c>
      <c r="N25" s="1">
        <v>2025</v>
      </c>
      <c r="O25" s="1">
        <v>88</v>
      </c>
      <c r="P25" s="1" t="s">
        <v>113</v>
      </c>
      <c r="Q25" s="1">
        <v>0.072</v>
      </c>
      <c r="R25" s="1">
        <v>0.043</v>
      </c>
      <c r="S25" s="1">
        <v>100</v>
      </c>
      <c r="T25" s="1">
        <v>2023</v>
      </c>
      <c r="U25" s="1">
        <v>0.948</v>
      </c>
      <c r="V25" s="1">
        <v>2023</v>
      </c>
      <c r="W25" s="1">
        <v>0.425797</v>
      </c>
      <c r="X25" s="1">
        <v>2023</v>
      </c>
      <c r="Y25" s="1">
        <v>0.021</v>
      </c>
      <c r="Z25" s="1">
        <v>2023</v>
      </c>
      <c r="AA25" s="1">
        <v>81.9102</v>
      </c>
      <c r="AB25" s="1">
        <v>88</v>
      </c>
      <c r="AC25" s="1">
        <v>2</v>
      </c>
      <c r="AD25" s="1">
        <v>8</v>
      </c>
      <c r="AE25" s="1">
        <v>77</v>
      </c>
      <c r="AF25" s="1">
        <v>88.3</v>
      </c>
      <c r="AG25" s="1">
        <v>68.2</v>
      </c>
      <c r="AH25" s="1">
        <v>79.6</v>
      </c>
      <c r="AI25" s="1">
        <v>85</v>
      </c>
      <c r="AJ25" s="1">
        <v>80</v>
      </c>
      <c r="AK25" s="1">
        <v>1717.05714285714</v>
      </c>
      <c r="AL25" s="1">
        <v>96.6</v>
      </c>
      <c r="AM25" s="1">
        <v>1.97</v>
      </c>
      <c r="AN25" s="1">
        <v>2.32</v>
      </c>
      <c r="AO25" s="1">
        <v>2.14</v>
      </c>
      <c r="AP25" s="1">
        <v>1.35</v>
      </c>
      <c r="AQ25" s="1">
        <v>1.71</v>
      </c>
      <c r="AR25" s="1">
        <v>1.37</v>
      </c>
      <c r="AS25" s="1">
        <v>2.91</v>
      </c>
      <c r="AT25" s="1">
        <v>9400000000</v>
      </c>
      <c r="AU25" s="1">
        <v>0.77</v>
      </c>
      <c r="AV25" s="1">
        <v>353600000000</v>
      </c>
      <c r="AW25" s="1">
        <v>272272000000</v>
      </c>
      <c r="AX25" s="1">
        <v>5600000</v>
      </c>
      <c r="BE25" s="9">
        <v>0.00355507581377216</v>
      </c>
      <c r="BF25" s="9">
        <f t="shared" si="0"/>
        <v>0.713956504127803</v>
      </c>
    </row>
    <row r="26" ht="15.75" customHeight="1" spans="1:58">
      <c r="A26" s="7" t="s">
        <v>114</v>
      </c>
      <c r="B26" s="1" t="s">
        <v>74</v>
      </c>
      <c r="C26" s="1" t="s">
        <v>66</v>
      </c>
      <c r="D26" s="1">
        <v>2023</v>
      </c>
      <c r="E26" s="1">
        <v>0.92</v>
      </c>
      <c r="F26" s="1">
        <v>2023</v>
      </c>
      <c r="G26" s="1">
        <v>0.268192</v>
      </c>
      <c r="H26" s="1">
        <v>2023</v>
      </c>
      <c r="I26" s="1">
        <v>0.034</v>
      </c>
      <c r="J26" s="1">
        <v>2023</v>
      </c>
      <c r="K26" s="1">
        <v>83.3253</v>
      </c>
      <c r="L26" s="1">
        <v>2022</v>
      </c>
      <c r="M26" s="1">
        <v>1.188952327</v>
      </c>
      <c r="N26" s="1">
        <v>2025</v>
      </c>
      <c r="O26" s="1">
        <v>66</v>
      </c>
      <c r="P26" s="1" t="s">
        <v>115</v>
      </c>
      <c r="Q26" s="1">
        <v>0.073</v>
      </c>
      <c r="R26" s="1">
        <v>0.057</v>
      </c>
      <c r="S26" s="1">
        <v>92.9</v>
      </c>
      <c r="T26" s="1">
        <v>2023</v>
      </c>
      <c r="U26" s="1">
        <v>0.92</v>
      </c>
      <c r="V26" s="1">
        <v>2023</v>
      </c>
      <c r="W26" s="1">
        <v>0.456974</v>
      </c>
      <c r="X26" s="1">
        <v>2023</v>
      </c>
      <c r="Y26" s="1">
        <v>0.034</v>
      </c>
      <c r="Z26" s="1">
        <v>2023</v>
      </c>
      <c r="AA26" s="1">
        <v>83.3253</v>
      </c>
      <c r="AB26" s="1">
        <v>66</v>
      </c>
      <c r="AC26" s="1">
        <v>27</v>
      </c>
      <c r="AD26" s="1">
        <v>12</v>
      </c>
      <c r="AE26" s="1">
        <v>109.9</v>
      </c>
      <c r="AF26" s="1">
        <v>81.9</v>
      </c>
      <c r="AG26" s="1">
        <v>54.3</v>
      </c>
      <c r="AH26" s="1">
        <v>79.6</v>
      </c>
      <c r="AI26" s="1">
        <v>75</v>
      </c>
      <c r="AJ26" s="1">
        <v>70</v>
      </c>
      <c r="AK26" s="1">
        <v>1717.05714285714</v>
      </c>
      <c r="AL26" s="1">
        <v>77.5</v>
      </c>
      <c r="AM26" s="1">
        <v>1.26</v>
      </c>
      <c r="AN26" s="1">
        <v>1.26</v>
      </c>
      <c r="AO26" s="1">
        <v>1.66</v>
      </c>
      <c r="AP26" s="1">
        <v>1.34</v>
      </c>
      <c r="AQ26" s="1">
        <v>1.12</v>
      </c>
      <c r="AR26" s="1">
        <v>1</v>
      </c>
      <c r="AS26" s="1">
        <v>1.27</v>
      </c>
      <c r="AT26" s="1">
        <v>36400000000</v>
      </c>
      <c r="AU26" s="1">
        <v>1.099</v>
      </c>
      <c r="AV26" s="1">
        <v>4.2</v>
      </c>
      <c r="AW26" s="1">
        <v>4.6158</v>
      </c>
      <c r="AX26" s="1">
        <v>65900000</v>
      </c>
      <c r="AY26" s="1">
        <v>0.0465926181818182</v>
      </c>
      <c r="AZ26" s="1">
        <v>0.0081106</v>
      </c>
      <c r="BA26" s="1">
        <v>0.0467787421620862</v>
      </c>
      <c r="BB26" s="1">
        <v>-0.0761035</v>
      </c>
      <c r="BC26" s="1">
        <v>0.0413998090909091</v>
      </c>
      <c r="BD26" s="1">
        <v>0.0450055</v>
      </c>
      <c r="BE26" s="9">
        <v>0.0077600691272888</v>
      </c>
      <c r="BF26" s="9">
        <f t="shared" si="0"/>
        <v>0.636960920099326</v>
      </c>
    </row>
    <row r="27" ht="15.75" customHeight="1" spans="1:58">
      <c r="A27" s="1" t="s">
        <v>116</v>
      </c>
      <c r="B27" s="1" t="s">
        <v>71</v>
      </c>
      <c r="C27" s="1" t="s">
        <v>63</v>
      </c>
      <c r="D27" s="1">
        <v>2023</v>
      </c>
      <c r="E27" s="1">
        <v>0.844</v>
      </c>
      <c r="F27" s="1">
        <v>2023</v>
      </c>
      <c r="G27" s="1">
        <v>0.476234</v>
      </c>
      <c r="H27" s="1">
        <v>2023</v>
      </c>
      <c r="I27" s="1">
        <v>0.257</v>
      </c>
      <c r="J27" s="1">
        <v>2023</v>
      </c>
      <c r="K27" s="1">
        <v>74.4965</v>
      </c>
      <c r="L27" s="1">
        <v>2022</v>
      </c>
      <c r="M27" s="1">
        <v>1.032308698</v>
      </c>
      <c r="N27" s="1">
        <v>2025</v>
      </c>
      <c r="O27" s="1">
        <v>50</v>
      </c>
      <c r="P27" s="1" t="s">
        <v>117</v>
      </c>
      <c r="Q27" s="1">
        <v>0.116</v>
      </c>
      <c r="R27" s="1">
        <v>0.025</v>
      </c>
      <c r="S27" s="1">
        <v>62.3</v>
      </c>
      <c r="T27" s="1">
        <v>2023</v>
      </c>
      <c r="U27" s="1">
        <v>0.844</v>
      </c>
      <c r="V27" s="1">
        <v>2023</v>
      </c>
      <c r="W27" s="1">
        <v>0.557924</v>
      </c>
      <c r="X27" s="1">
        <v>2023</v>
      </c>
      <c r="Y27" s="1">
        <v>0.257</v>
      </c>
      <c r="Z27" s="1">
        <v>2023</v>
      </c>
      <c r="AA27" s="1">
        <v>74.4965</v>
      </c>
      <c r="AB27" s="1">
        <v>50</v>
      </c>
      <c r="AC27" s="1">
        <v>56</v>
      </c>
      <c r="AD27" s="1">
        <v>70</v>
      </c>
      <c r="AE27" s="1">
        <v>39.2</v>
      </c>
      <c r="AF27" s="1">
        <v>78.1</v>
      </c>
      <c r="AG27" s="1">
        <v>89.1</v>
      </c>
      <c r="AH27" s="1">
        <v>86.2</v>
      </c>
      <c r="AI27" s="1">
        <v>60</v>
      </c>
      <c r="AJ27" s="1">
        <v>60</v>
      </c>
      <c r="AK27" s="1">
        <v>2000.75</v>
      </c>
      <c r="AL27" s="1">
        <v>16.5413793103448</v>
      </c>
      <c r="AM27" s="1">
        <v>3.23421052631579</v>
      </c>
      <c r="AN27" s="1">
        <v>3.68526315789474</v>
      </c>
      <c r="AO27" s="1">
        <v>3.41421052631579</v>
      </c>
      <c r="AP27" s="1">
        <v>2.82368421052632</v>
      </c>
      <c r="AQ27" s="1">
        <v>2.72947368421053</v>
      </c>
      <c r="AR27" s="1">
        <v>2.78368421052632</v>
      </c>
      <c r="AS27" s="1">
        <v>3.93555555555556</v>
      </c>
      <c r="AT27" s="1">
        <v>2000000000</v>
      </c>
      <c r="AU27" s="1">
        <v>0.392</v>
      </c>
      <c r="AV27" s="1">
        <v>92800000000</v>
      </c>
      <c r="AW27" s="1">
        <v>36377600000</v>
      </c>
      <c r="AX27" s="1">
        <v>3700000</v>
      </c>
      <c r="BE27" s="9">
        <v>0.0389525038546261</v>
      </c>
      <c r="BF27" s="9">
        <f t="shared" si="0"/>
        <v>0.0658114437419132</v>
      </c>
    </row>
    <row r="28" ht="15.75" customHeight="1" spans="1:58">
      <c r="A28" s="7" t="s">
        <v>118</v>
      </c>
      <c r="B28" s="1" t="s">
        <v>74</v>
      </c>
      <c r="C28" s="1" t="s">
        <v>66</v>
      </c>
      <c r="D28" s="1">
        <v>2023</v>
      </c>
      <c r="E28" s="1">
        <v>0.959</v>
      </c>
      <c r="F28" s="1">
        <v>2023</v>
      </c>
      <c r="G28" s="1">
        <v>0.317886</v>
      </c>
      <c r="H28" s="1">
        <v>2023</v>
      </c>
      <c r="I28" s="1">
        <v>0.057</v>
      </c>
      <c r="J28" s="1">
        <v>2023</v>
      </c>
      <c r="K28" s="1">
        <v>81.3777</v>
      </c>
      <c r="L28" s="1">
        <v>2022</v>
      </c>
      <c r="M28" s="1">
        <v>1.522294998</v>
      </c>
      <c r="N28" s="1">
        <v>2025</v>
      </c>
      <c r="O28" s="1">
        <v>77</v>
      </c>
      <c r="P28" s="1" t="s">
        <v>119</v>
      </c>
      <c r="Q28" s="1">
        <v>0.03</v>
      </c>
      <c r="R28" s="1">
        <v>0.06</v>
      </c>
      <c r="S28" s="1">
        <v>95.4</v>
      </c>
      <c r="T28" s="1">
        <v>2023</v>
      </c>
      <c r="U28" s="1">
        <v>0.959</v>
      </c>
      <c r="V28" s="1">
        <v>2023</v>
      </c>
      <c r="W28" s="1">
        <v>0.471245</v>
      </c>
      <c r="X28" s="1">
        <v>2023</v>
      </c>
      <c r="Y28" s="1">
        <v>0.057</v>
      </c>
      <c r="Z28" s="1">
        <v>2023</v>
      </c>
      <c r="AA28" s="1">
        <v>81.3777</v>
      </c>
      <c r="AB28" s="1">
        <v>77</v>
      </c>
      <c r="AC28" s="1">
        <v>10</v>
      </c>
      <c r="AD28" s="1">
        <v>7</v>
      </c>
      <c r="AE28" s="1">
        <v>62.7</v>
      </c>
      <c r="AF28" s="1">
        <v>83.7</v>
      </c>
      <c r="AG28" s="1">
        <v>60.5</v>
      </c>
      <c r="AH28" s="1">
        <v>79.6</v>
      </c>
      <c r="AI28" s="1">
        <v>60</v>
      </c>
      <c r="AJ28" s="1">
        <v>70</v>
      </c>
      <c r="AK28" s="1">
        <v>1717.05714285714</v>
      </c>
      <c r="AL28" s="1">
        <v>95.9</v>
      </c>
      <c r="AM28" s="1">
        <v>1.79</v>
      </c>
      <c r="AN28" s="1">
        <v>1.96</v>
      </c>
      <c r="AO28" s="1">
        <v>1.99</v>
      </c>
      <c r="AP28" s="1">
        <v>1.45</v>
      </c>
      <c r="AQ28" s="1">
        <v>1.5</v>
      </c>
      <c r="AR28" s="1">
        <v>1.3</v>
      </c>
      <c r="AS28" s="1">
        <v>2.82</v>
      </c>
      <c r="AT28" s="1">
        <v>11100000000</v>
      </c>
      <c r="AU28" s="1">
        <v>0.627</v>
      </c>
      <c r="AV28" s="1">
        <v>5.9</v>
      </c>
      <c r="AW28" s="1">
        <v>3.6993</v>
      </c>
      <c r="AX28" s="1">
        <v>84500000</v>
      </c>
      <c r="AY28" s="1">
        <v>0.0615219909090909</v>
      </c>
      <c r="AZ28" s="1">
        <v>-0.0042336</v>
      </c>
      <c r="BA28" s="1">
        <v>0.0514626470427993</v>
      </c>
      <c r="BB28" s="1">
        <v>-0.0526747</v>
      </c>
      <c r="BC28" s="1">
        <v>0.0400736545454545</v>
      </c>
      <c r="BD28" s="1">
        <v>0.0369387</v>
      </c>
      <c r="BE28" s="9">
        <v>0</v>
      </c>
      <c r="BF28" s="9">
        <f t="shared" si="0"/>
        <v>0.779051765437024</v>
      </c>
    </row>
    <row r="29" ht="15.75" customHeight="1" spans="1:58">
      <c r="A29" s="1" t="s">
        <v>120</v>
      </c>
      <c r="B29" s="1" t="s">
        <v>69</v>
      </c>
      <c r="C29" s="1" t="s">
        <v>66</v>
      </c>
      <c r="D29" s="1">
        <v>2023</v>
      </c>
      <c r="E29" s="1">
        <v>0.908</v>
      </c>
      <c r="F29" s="1">
        <v>2023</v>
      </c>
      <c r="G29" s="1">
        <v>0.363683</v>
      </c>
      <c r="H29" s="1">
        <v>2023</v>
      </c>
      <c r="I29" s="1">
        <v>0.103</v>
      </c>
      <c r="J29" s="1">
        <v>2023</v>
      </c>
      <c r="K29" s="1">
        <v>81.8568</v>
      </c>
      <c r="L29" s="1">
        <v>2022</v>
      </c>
      <c r="M29" s="1">
        <v>0.464378983</v>
      </c>
      <c r="N29" s="1">
        <v>2025</v>
      </c>
      <c r="O29" s="1">
        <v>50</v>
      </c>
      <c r="P29" s="1" t="s">
        <v>121</v>
      </c>
      <c r="Q29" s="1">
        <v>0.11</v>
      </c>
      <c r="R29" s="1">
        <v>0.042</v>
      </c>
      <c r="S29" s="1">
        <v>77.3</v>
      </c>
      <c r="T29" s="1">
        <v>2023</v>
      </c>
      <c r="U29" s="1">
        <v>0.908</v>
      </c>
      <c r="V29" s="1">
        <v>2023</v>
      </c>
      <c r="W29" s="1">
        <v>0.464052</v>
      </c>
      <c r="X29" s="1">
        <v>2023</v>
      </c>
      <c r="Y29" s="1">
        <v>0.103</v>
      </c>
      <c r="Z29" s="1">
        <v>2023</v>
      </c>
      <c r="AA29" s="1">
        <v>81.8568</v>
      </c>
      <c r="AB29" s="1">
        <v>50</v>
      </c>
      <c r="AC29" s="1">
        <v>56</v>
      </c>
      <c r="AD29" s="1">
        <v>33</v>
      </c>
      <c r="AE29" s="1">
        <v>168.9</v>
      </c>
      <c r="AF29" s="1">
        <v>78</v>
      </c>
      <c r="AG29" s="1">
        <v>60</v>
      </c>
      <c r="AH29" s="1">
        <v>79.6</v>
      </c>
      <c r="AI29" s="1">
        <v>55</v>
      </c>
      <c r="AJ29" s="1">
        <v>50</v>
      </c>
      <c r="AK29" s="1">
        <v>1717.05714285714</v>
      </c>
      <c r="AL29" s="1">
        <v>15.5</v>
      </c>
      <c r="AM29" s="1">
        <v>2.71</v>
      </c>
      <c r="AN29" s="1">
        <v>3.26</v>
      </c>
      <c r="AO29" s="1">
        <v>3.1</v>
      </c>
      <c r="AP29" s="1">
        <v>2.43</v>
      </c>
      <c r="AQ29" s="1">
        <v>2.18</v>
      </c>
      <c r="AR29" s="1">
        <v>2.03</v>
      </c>
      <c r="AS29" s="1">
        <v>3.27</v>
      </c>
      <c r="AT29" s="1">
        <v>7600000000</v>
      </c>
      <c r="AU29" s="1">
        <v>1.689</v>
      </c>
      <c r="AV29" s="1">
        <v>417100000000</v>
      </c>
      <c r="AW29" s="1">
        <v>704481900000</v>
      </c>
      <c r="AX29" s="1">
        <v>10400000</v>
      </c>
      <c r="BE29" s="9">
        <v>0.0284535868000589</v>
      </c>
      <c r="BF29" s="9">
        <f t="shared" si="0"/>
        <v>0.258051999198799</v>
      </c>
    </row>
    <row r="30" ht="15.75" customHeight="1" spans="1:58">
      <c r="A30" s="1" t="s">
        <v>122</v>
      </c>
      <c r="B30" s="1" t="s">
        <v>99</v>
      </c>
      <c r="C30" s="1" t="s">
        <v>63</v>
      </c>
      <c r="D30" s="1">
        <v>2023</v>
      </c>
      <c r="E30" s="1">
        <v>0.955</v>
      </c>
      <c r="F30" s="1">
        <v>2023</v>
      </c>
      <c r="G30" s="1">
        <v>0.542982</v>
      </c>
      <c r="H30" s="1">
        <v>2023</v>
      </c>
      <c r="I30" s="1">
        <v>0.319181818181818</v>
      </c>
      <c r="J30" s="1">
        <v>2023</v>
      </c>
      <c r="K30" s="1">
        <v>85.5106</v>
      </c>
      <c r="L30" s="1">
        <v>2022</v>
      </c>
      <c r="M30" s="1">
        <v>-0.0946318026285714</v>
      </c>
      <c r="N30" s="1">
        <v>2025</v>
      </c>
      <c r="O30" s="1">
        <v>76</v>
      </c>
      <c r="P30" s="1">
        <v>7500000</v>
      </c>
      <c r="Q30" s="1">
        <v>0.0557</v>
      </c>
      <c r="R30" s="1">
        <v>0.133609756097561</v>
      </c>
      <c r="S30" s="1">
        <v>47.9619047619048</v>
      </c>
      <c r="T30" s="1">
        <v>2023</v>
      </c>
      <c r="U30" s="1">
        <v>0.955</v>
      </c>
      <c r="V30" s="1">
        <v>2023</v>
      </c>
      <c r="W30" s="1">
        <v>0.554385739130435</v>
      </c>
      <c r="X30" s="1">
        <v>2023</v>
      </c>
      <c r="Y30" s="1">
        <v>0.319181818181818</v>
      </c>
      <c r="Z30" s="1">
        <v>2023</v>
      </c>
      <c r="AA30" s="1">
        <v>85.5106</v>
      </c>
      <c r="AB30" s="1">
        <v>76</v>
      </c>
      <c r="AC30" s="1">
        <v>12</v>
      </c>
      <c r="AD30" s="1">
        <v>14</v>
      </c>
      <c r="AE30" s="1">
        <v>65.5275</v>
      </c>
      <c r="AF30" s="1">
        <v>66.3184210526316</v>
      </c>
      <c r="AG30" s="1">
        <v>85.1289473684211</v>
      </c>
      <c r="AH30" s="1">
        <v>74.0157894736842</v>
      </c>
      <c r="AI30" s="1">
        <v>50.2631578947368</v>
      </c>
      <c r="AJ30" s="1">
        <v>97.8974358974359</v>
      </c>
      <c r="AK30" s="1">
        <v>2000.75</v>
      </c>
      <c r="AL30" s="1">
        <v>16.5413793103448</v>
      </c>
      <c r="AM30" s="1">
        <v>3.23421052631579</v>
      </c>
      <c r="AN30" s="1">
        <v>3.68526315789474</v>
      </c>
      <c r="AO30" s="1">
        <v>3.41421052631579</v>
      </c>
      <c r="AP30" s="1">
        <v>2.82368421052632</v>
      </c>
      <c r="AQ30" s="1">
        <v>2.72947368421053</v>
      </c>
      <c r="AR30" s="1">
        <v>2.78368421052632</v>
      </c>
      <c r="AS30" s="1">
        <v>3.93555555555556</v>
      </c>
      <c r="AT30" s="1">
        <v>15892717948.718</v>
      </c>
      <c r="AU30" s="1">
        <v>0.655275</v>
      </c>
      <c r="AV30" s="1">
        <v>162341463416.554</v>
      </c>
      <c r="AW30" s="1">
        <v>106378302440.282</v>
      </c>
      <c r="AX30" s="1">
        <v>7500000</v>
      </c>
      <c r="BE30" s="9">
        <v>0.0077600691272888</v>
      </c>
      <c r="BF30" s="9">
        <f t="shared" si="0"/>
        <v>0.636960920099326</v>
      </c>
    </row>
    <row r="31" ht="15.75" customHeight="1" spans="1:58">
      <c r="A31" s="7" t="s">
        <v>123</v>
      </c>
      <c r="B31" s="1" t="s">
        <v>65</v>
      </c>
      <c r="C31" s="1" t="s">
        <v>66</v>
      </c>
      <c r="D31" s="1">
        <v>2023</v>
      </c>
      <c r="E31" s="1">
        <v>0.87</v>
      </c>
      <c r="F31" s="1">
        <v>2023</v>
      </c>
      <c r="G31" s="1">
        <v>0.345491</v>
      </c>
      <c r="H31" s="1">
        <v>2023</v>
      </c>
      <c r="I31" s="1">
        <v>0.213</v>
      </c>
      <c r="J31" s="1">
        <v>2023</v>
      </c>
      <c r="K31" s="1">
        <v>77.024</v>
      </c>
      <c r="L31" s="1">
        <v>2022</v>
      </c>
      <c r="M31" s="1">
        <v>0.406537682</v>
      </c>
      <c r="N31" s="1">
        <v>2025</v>
      </c>
      <c r="O31" s="1">
        <v>40</v>
      </c>
      <c r="P31" s="1" t="s">
        <v>124</v>
      </c>
      <c r="Q31" s="1">
        <v>0.041</v>
      </c>
      <c r="R31" s="1">
        <v>0.171</v>
      </c>
      <c r="S31" s="1">
        <v>69.2</v>
      </c>
      <c r="T31" s="1">
        <v>2023</v>
      </c>
      <c r="U31" s="1">
        <v>0.87</v>
      </c>
      <c r="V31" s="1">
        <v>2023</v>
      </c>
      <c r="W31" s="1">
        <v>0.43166</v>
      </c>
      <c r="X31" s="1">
        <v>2023</v>
      </c>
      <c r="Y31" s="1">
        <v>0.213</v>
      </c>
      <c r="Z31" s="1">
        <v>2023</v>
      </c>
      <c r="AA31" s="1">
        <v>77.024</v>
      </c>
      <c r="AB31" s="1">
        <v>40</v>
      </c>
      <c r="AC31" s="1">
        <v>84</v>
      </c>
      <c r="AD31" s="1">
        <v>30</v>
      </c>
      <c r="AE31" s="1">
        <v>73.5</v>
      </c>
      <c r="AF31" s="1">
        <v>76.1</v>
      </c>
      <c r="AG31" s="1">
        <v>85.3</v>
      </c>
      <c r="AH31" s="1">
        <v>79.6</v>
      </c>
      <c r="AI31" s="1">
        <v>80</v>
      </c>
      <c r="AJ31" s="1">
        <v>70</v>
      </c>
      <c r="AK31" s="1">
        <v>1717.05714285714</v>
      </c>
      <c r="AL31" s="1">
        <v>17.4</v>
      </c>
      <c r="AM31" s="1">
        <v>2.3</v>
      </c>
      <c r="AN31" s="1">
        <v>2.92</v>
      </c>
      <c r="AO31" s="1">
        <v>2.26</v>
      </c>
      <c r="AP31" s="1">
        <v>2.42</v>
      </c>
      <c r="AQ31" s="1">
        <v>1.84</v>
      </c>
      <c r="AR31" s="1">
        <v>1.53</v>
      </c>
      <c r="AS31" s="1">
        <v>2.91</v>
      </c>
      <c r="AT31" s="1">
        <v>8600000000</v>
      </c>
      <c r="AU31" s="1">
        <v>0.735</v>
      </c>
      <c r="AV31" s="1">
        <v>431600000000</v>
      </c>
      <c r="AW31" s="1">
        <v>317226000000</v>
      </c>
      <c r="AX31" s="1">
        <v>9600000</v>
      </c>
      <c r="AY31" s="1">
        <v>0.0770976</v>
      </c>
      <c r="AZ31" s="1">
        <v>-0.0015364</v>
      </c>
      <c r="BA31" s="1">
        <v>0.0649707644871977</v>
      </c>
      <c r="BB31" s="1">
        <v>-0.0015364</v>
      </c>
      <c r="BC31" s="1">
        <v>0.0604303636363636</v>
      </c>
      <c r="BD31" s="1">
        <v>0.0705282</v>
      </c>
      <c r="BE31" s="9">
        <v>0.0246496313455056</v>
      </c>
      <c r="BF31" s="9">
        <f t="shared" si="0"/>
        <v>0.327704374364337</v>
      </c>
    </row>
    <row r="32" ht="15.75" customHeight="1" spans="1:58">
      <c r="A32" s="1" t="s">
        <v>125</v>
      </c>
      <c r="B32" s="1" t="s">
        <v>107</v>
      </c>
      <c r="C32" s="1" t="s">
        <v>66</v>
      </c>
      <c r="D32" s="1">
        <v>2023</v>
      </c>
      <c r="E32" s="1">
        <v>0.972</v>
      </c>
      <c r="F32" s="1">
        <v>2023</v>
      </c>
      <c r="G32" s="1">
        <v>0.218218</v>
      </c>
      <c r="H32" s="1">
        <v>2023</v>
      </c>
      <c r="I32" s="1">
        <v>0.024</v>
      </c>
      <c r="J32" s="1">
        <v>2023</v>
      </c>
      <c r="K32" s="1">
        <v>82.6911</v>
      </c>
      <c r="L32" s="1">
        <v>2022</v>
      </c>
      <c r="M32" s="1">
        <v>1.307296515</v>
      </c>
      <c r="N32" s="1">
        <v>2025</v>
      </c>
      <c r="O32" s="1">
        <v>77</v>
      </c>
      <c r="P32" s="1" t="s">
        <v>126</v>
      </c>
      <c r="Q32" s="1">
        <v>0.036</v>
      </c>
      <c r="R32" s="1">
        <v>0.087</v>
      </c>
      <c r="S32" s="1">
        <v>97</v>
      </c>
      <c r="T32" s="1">
        <v>2023</v>
      </c>
      <c r="U32" s="1">
        <v>0.972</v>
      </c>
      <c r="V32" s="1">
        <v>2023</v>
      </c>
      <c r="W32" s="1">
        <v>0.350561</v>
      </c>
      <c r="X32" s="1">
        <v>2023</v>
      </c>
      <c r="Y32" s="1">
        <v>0.024</v>
      </c>
      <c r="Z32" s="1">
        <v>2023</v>
      </c>
      <c r="AA32" s="1">
        <v>82.6911</v>
      </c>
      <c r="AB32" s="1">
        <v>77</v>
      </c>
      <c r="AC32" s="1">
        <v>10</v>
      </c>
      <c r="AD32" s="1">
        <v>18</v>
      </c>
      <c r="AE32" s="1">
        <v>62.2</v>
      </c>
      <c r="AF32" s="1">
        <v>86.3</v>
      </c>
      <c r="AG32" s="1">
        <v>72.6</v>
      </c>
      <c r="AH32" s="1">
        <v>80.4</v>
      </c>
      <c r="AI32" s="1">
        <v>70</v>
      </c>
      <c r="AJ32" s="1">
        <v>70</v>
      </c>
      <c r="AK32" s="1">
        <v>1717.05714285714</v>
      </c>
      <c r="AL32" s="1">
        <v>43.696875</v>
      </c>
      <c r="AM32" s="1">
        <v>2.2616</v>
      </c>
      <c r="AN32" s="1">
        <v>2.8232</v>
      </c>
      <c r="AO32" s="1">
        <v>2.538</v>
      </c>
      <c r="AP32" s="1">
        <v>2.2348</v>
      </c>
      <c r="AQ32" s="1">
        <v>1.734</v>
      </c>
      <c r="AR32" s="1">
        <v>1.4236</v>
      </c>
      <c r="AS32" s="1">
        <v>2.926</v>
      </c>
      <c r="AT32" s="1">
        <v>620000000</v>
      </c>
      <c r="AU32" s="1">
        <v>0.622</v>
      </c>
      <c r="AV32" s="1">
        <v>29400000000</v>
      </c>
      <c r="AW32" s="1">
        <v>18286800000</v>
      </c>
      <c r="AX32" s="1">
        <v>400000</v>
      </c>
      <c r="BE32" s="9">
        <v>0.009129493090928</v>
      </c>
      <c r="BF32" s="9">
        <f t="shared" si="0"/>
        <v>0.611886065039733</v>
      </c>
    </row>
    <row r="33" ht="15.75" customHeight="1" spans="1:58">
      <c r="A33" s="1" t="s">
        <v>127</v>
      </c>
      <c r="B33" s="1" t="s">
        <v>62</v>
      </c>
      <c r="C33" s="1" t="s">
        <v>63</v>
      </c>
      <c r="D33" s="1">
        <v>2023</v>
      </c>
      <c r="E33" s="1">
        <v>0.685</v>
      </c>
      <c r="F33" s="1">
        <v>2023</v>
      </c>
      <c r="G33" s="1">
        <v>0.611348</v>
      </c>
      <c r="H33" s="1">
        <v>2023</v>
      </c>
      <c r="I33" s="1">
        <v>0.403</v>
      </c>
      <c r="J33" s="1">
        <v>2023</v>
      </c>
      <c r="K33" s="1">
        <v>72.0026</v>
      </c>
      <c r="L33" s="1">
        <v>2022</v>
      </c>
      <c r="M33" s="1">
        <v>-0.050446417</v>
      </c>
      <c r="N33" s="1">
        <v>2025</v>
      </c>
      <c r="O33" s="1">
        <v>39</v>
      </c>
      <c r="P33" s="1" t="s">
        <v>100</v>
      </c>
      <c r="Q33" s="1">
        <v>0.042</v>
      </c>
      <c r="R33" s="1">
        <v>0.054</v>
      </c>
      <c r="S33" s="1">
        <v>51.1</v>
      </c>
      <c r="T33" s="1">
        <v>2023</v>
      </c>
      <c r="U33" s="1">
        <v>0.685</v>
      </c>
      <c r="V33" s="1">
        <v>2023</v>
      </c>
      <c r="W33" s="1">
        <v>0.616031</v>
      </c>
      <c r="X33" s="1">
        <v>2023</v>
      </c>
      <c r="Y33" s="1">
        <v>0.403</v>
      </c>
      <c r="Z33" s="1">
        <v>2023</v>
      </c>
      <c r="AA33" s="1">
        <v>72.0026</v>
      </c>
      <c r="AB33" s="1">
        <v>39</v>
      </c>
      <c r="AC33" s="1">
        <v>91</v>
      </c>
      <c r="AD33" s="1">
        <v>101</v>
      </c>
      <c r="AE33" s="1">
        <v>83</v>
      </c>
      <c r="AF33" s="1">
        <v>72.3</v>
      </c>
      <c r="AG33" s="1">
        <v>71.3</v>
      </c>
      <c r="AH33" s="1">
        <v>61</v>
      </c>
      <c r="AI33" s="1">
        <v>40</v>
      </c>
      <c r="AJ33" s="1">
        <v>40</v>
      </c>
      <c r="AK33" s="1">
        <v>1997</v>
      </c>
      <c r="AL33" s="1">
        <v>4.3</v>
      </c>
      <c r="AM33" s="1">
        <v>3.23421052631579</v>
      </c>
      <c r="AN33" s="1">
        <v>3.68526315789474</v>
      </c>
      <c r="AO33" s="1">
        <v>3.41421052631579</v>
      </c>
      <c r="AP33" s="1">
        <v>2.82368421052632</v>
      </c>
      <c r="AQ33" s="1">
        <v>2.72947368421053</v>
      </c>
      <c r="AR33" s="1">
        <v>2.78368421052632</v>
      </c>
      <c r="AS33" s="1">
        <v>3.93555555555556</v>
      </c>
      <c r="AT33" s="1">
        <v>49400000000</v>
      </c>
      <c r="AU33" s="1">
        <v>0.83</v>
      </c>
      <c r="AV33" s="1">
        <v>14.6</v>
      </c>
      <c r="AW33" s="1">
        <v>12.118</v>
      </c>
      <c r="AX33" s="1">
        <v>1400000000</v>
      </c>
      <c r="BE33" s="9">
        <v>0.0284535868000589</v>
      </c>
      <c r="BF33" s="9">
        <f t="shared" si="0"/>
        <v>0.258051999198799</v>
      </c>
    </row>
    <row r="34" ht="15.75" customHeight="1" spans="1:58">
      <c r="A34" s="1" t="s">
        <v>128</v>
      </c>
      <c r="B34" s="1" t="s">
        <v>92</v>
      </c>
      <c r="C34" s="1" t="s">
        <v>63</v>
      </c>
      <c r="D34" s="1">
        <v>2023</v>
      </c>
      <c r="E34" s="1">
        <v>0.728</v>
      </c>
      <c r="F34" s="1">
        <v>2023</v>
      </c>
      <c r="G34" s="1">
        <v>0.576083</v>
      </c>
      <c r="H34" s="1">
        <v>2023</v>
      </c>
      <c r="I34" s="1">
        <v>0.423</v>
      </c>
      <c r="J34" s="1">
        <v>2023</v>
      </c>
      <c r="K34" s="1">
        <v>71.1457</v>
      </c>
      <c r="L34" s="1">
        <v>2022</v>
      </c>
      <c r="M34" s="1">
        <v>0.205959961</v>
      </c>
      <c r="N34" s="1">
        <v>2025</v>
      </c>
      <c r="O34" s="1">
        <v>34</v>
      </c>
      <c r="P34" s="1" t="s">
        <v>129</v>
      </c>
      <c r="Q34" s="1">
        <v>0.034</v>
      </c>
      <c r="R34" s="1">
        <v>0.037</v>
      </c>
      <c r="S34" s="1">
        <v>39.8</v>
      </c>
      <c r="T34" s="1">
        <v>2023</v>
      </c>
      <c r="U34" s="1">
        <v>0.728</v>
      </c>
      <c r="V34" s="1">
        <v>2023</v>
      </c>
      <c r="W34" s="1">
        <v>0.580226</v>
      </c>
      <c r="X34" s="1">
        <v>2023</v>
      </c>
      <c r="Y34" s="1">
        <v>0.423</v>
      </c>
      <c r="Z34" s="1">
        <v>2023</v>
      </c>
      <c r="AA34" s="1">
        <v>71.1457</v>
      </c>
      <c r="AB34" s="1">
        <v>34</v>
      </c>
      <c r="AC34" s="1">
        <v>109</v>
      </c>
      <c r="AD34" s="1">
        <v>67</v>
      </c>
      <c r="AE34" s="1">
        <v>39.6</v>
      </c>
      <c r="AF34" s="1">
        <v>73</v>
      </c>
      <c r="AG34" s="1">
        <v>81.8</v>
      </c>
      <c r="AH34" s="1">
        <v>79.4</v>
      </c>
      <c r="AI34" s="1">
        <v>50</v>
      </c>
      <c r="AJ34" s="1">
        <v>60</v>
      </c>
      <c r="AK34" s="1">
        <v>2000.75</v>
      </c>
      <c r="AL34" s="1">
        <v>1.8</v>
      </c>
      <c r="AM34" s="1">
        <v>2.81</v>
      </c>
      <c r="AN34" s="1">
        <v>3.3</v>
      </c>
      <c r="AO34" s="1">
        <v>2.17</v>
      </c>
      <c r="AP34" s="1">
        <v>2.49</v>
      </c>
      <c r="AQ34" s="1">
        <v>2.54</v>
      </c>
      <c r="AR34" s="1">
        <v>2.57</v>
      </c>
      <c r="AS34" s="1">
        <v>4</v>
      </c>
      <c r="AT34" s="1">
        <v>22000000000</v>
      </c>
      <c r="AU34" s="1">
        <v>0.396</v>
      </c>
      <c r="AV34" s="1">
        <v>4.3</v>
      </c>
      <c r="AW34" s="1">
        <v>1.7028</v>
      </c>
      <c r="AX34" s="1">
        <v>278700000</v>
      </c>
      <c r="BE34" s="9">
        <v>0.0246496313455056</v>
      </c>
      <c r="BF34" s="9">
        <f t="shared" si="0"/>
        <v>0.327704374364337</v>
      </c>
    </row>
    <row r="35" ht="15.75" customHeight="1" spans="1:58">
      <c r="A35" s="1" t="s">
        <v>130</v>
      </c>
      <c r="B35" s="1" t="s">
        <v>79</v>
      </c>
      <c r="C35" s="1" t="s">
        <v>63</v>
      </c>
      <c r="D35" s="1">
        <v>2023</v>
      </c>
      <c r="E35" s="1">
        <v>0.799</v>
      </c>
      <c r="F35" s="1">
        <v>2023</v>
      </c>
      <c r="G35" s="1">
        <v>0.555522</v>
      </c>
      <c r="H35" s="1">
        <v>2023</v>
      </c>
      <c r="I35" s="1">
        <v>0.482</v>
      </c>
      <c r="J35" s="1">
        <v>2023</v>
      </c>
      <c r="K35" s="1">
        <v>77.6545</v>
      </c>
      <c r="L35" s="1">
        <v>2022</v>
      </c>
      <c r="M35" s="1">
        <v>-0.0946318026285714</v>
      </c>
      <c r="N35" s="1">
        <v>2025</v>
      </c>
      <c r="O35" s="1">
        <v>23</v>
      </c>
      <c r="P35" s="1" t="s">
        <v>131</v>
      </c>
      <c r="Q35" s="1">
        <v>0.091</v>
      </c>
      <c r="R35" s="1">
        <v>0.407</v>
      </c>
      <c r="S35" s="1">
        <v>23.3</v>
      </c>
      <c r="T35" s="1">
        <v>2023</v>
      </c>
      <c r="U35" s="1">
        <v>0.799</v>
      </c>
      <c r="V35" s="1">
        <v>2023</v>
      </c>
      <c r="W35" s="1">
        <v>0.58839</v>
      </c>
      <c r="X35" s="1">
        <v>2023</v>
      </c>
      <c r="Y35" s="1">
        <v>0.482</v>
      </c>
      <c r="Z35" s="1">
        <v>2023</v>
      </c>
      <c r="AA35" s="1">
        <v>77.6545</v>
      </c>
      <c r="AB35" s="1">
        <v>23</v>
      </c>
      <c r="AC35" s="1">
        <v>153</v>
      </c>
      <c r="AD35" s="1">
        <v>81</v>
      </c>
      <c r="AE35" s="1">
        <v>34</v>
      </c>
      <c r="AF35" s="1">
        <v>38.4</v>
      </c>
      <c r="AG35" s="1">
        <v>81.3</v>
      </c>
      <c r="AH35" s="1">
        <v>55.8</v>
      </c>
      <c r="AI35" s="1">
        <v>5</v>
      </c>
      <c r="AJ35" s="1">
        <v>10</v>
      </c>
      <c r="AK35" s="1">
        <v>1998</v>
      </c>
      <c r="AL35" s="1">
        <v>6.5</v>
      </c>
      <c r="AM35" s="1">
        <v>3.23421052631579</v>
      </c>
      <c r="AN35" s="1">
        <v>3.68526315789474</v>
      </c>
      <c r="AO35" s="1">
        <v>3.41421052631579</v>
      </c>
      <c r="AP35" s="1">
        <v>2.82368421052632</v>
      </c>
      <c r="AQ35" s="1">
        <v>2.72947368421053</v>
      </c>
      <c r="AR35" s="1">
        <v>2.78368421052632</v>
      </c>
      <c r="AS35" s="1">
        <v>3.93555555555556</v>
      </c>
      <c r="AT35" s="1">
        <v>1500000000</v>
      </c>
      <c r="AU35" s="1">
        <v>0.34</v>
      </c>
      <c r="AV35" s="1">
        <v>1.6</v>
      </c>
      <c r="AW35" s="1">
        <v>0.544</v>
      </c>
      <c r="AX35" s="1">
        <v>85800000</v>
      </c>
      <c r="BE35" s="9">
        <v>0.097076943200201</v>
      </c>
      <c r="BF35" s="9">
        <f t="shared" si="0"/>
        <v>-0.99847684878751</v>
      </c>
    </row>
    <row r="36" ht="15.75" customHeight="1" spans="1:58">
      <c r="A36" s="1" t="s">
        <v>132</v>
      </c>
      <c r="B36" s="1" t="s">
        <v>79</v>
      </c>
      <c r="C36" s="1" t="s">
        <v>63</v>
      </c>
      <c r="D36" s="1">
        <v>2023</v>
      </c>
      <c r="E36" s="1">
        <v>0.695</v>
      </c>
      <c r="F36" s="1">
        <v>2023</v>
      </c>
      <c r="G36" s="1">
        <v>0.522825</v>
      </c>
      <c r="H36" s="1">
        <v>2023</v>
      </c>
      <c r="I36" s="1">
        <v>0.558</v>
      </c>
      <c r="J36" s="1">
        <v>2023</v>
      </c>
      <c r="K36" s="1">
        <v>72.3242</v>
      </c>
      <c r="L36" s="1">
        <v>2022</v>
      </c>
      <c r="M36" s="1">
        <v>-1.180485129</v>
      </c>
      <c r="N36" s="1">
        <v>2025</v>
      </c>
      <c r="O36" s="1">
        <v>28</v>
      </c>
      <c r="P36" s="1" t="s">
        <v>133</v>
      </c>
      <c r="Q36" s="1">
        <v>0.155</v>
      </c>
      <c r="R36" s="1">
        <v>0.044</v>
      </c>
      <c r="S36" s="1">
        <v>6.3</v>
      </c>
      <c r="T36" s="1">
        <v>2023</v>
      </c>
      <c r="U36" s="1">
        <v>0.695</v>
      </c>
      <c r="V36" s="1">
        <v>2023</v>
      </c>
      <c r="W36" s="1">
        <v>0.544817</v>
      </c>
      <c r="X36" s="1">
        <v>2023</v>
      </c>
      <c r="Y36" s="1">
        <v>0.558</v>
      </c>
      <c r="Z36" s="1">
        <v>2023</v>
      </c>
      <c r="AA36" s="1">
        <v>72.3242</v>
      </c>
      <c r="AB36" s="1">
        <v>28</v>
      </c>
      <c r="AC36" s="1">
        <v>136</v>
      </c>
      <c r="AD36" s="1">
        <v>188</v>
      </c>
      <c r="AE36" s="1">
        <v>44.5</v>
      </c>
      <c r="AF36" s="1">
        <v>66.3184210526316</v>
      </c>
      <c r="AG36" s="1">
        <v>85.1289473684211</v>
      </c>
      <c r="AH36" s="1">
        <v>74.0157894736842</v>
      </c>
      <c r="AI36" s="1">
        <v>50.2631578947368</v>
      </c>
      <c r="AJ36" s="1">
        <v>97.8974358974359</v>
      </c>
      <c r="AK36" s="1">
        <v>2000.75</v>
      </c>
      <c r="AL36" s="1">
        <v>89</v>
      </c>
      <c r="AM36" s="1">
        <v>4.87</v>
      </c>
      <c r="AN36" s="1">
        <v>4.82</v>
      </c>
      <c r="AO36" s="1">
        <v>5</v>
      </c>
      <c r="AP36" s="1">
        <v>3.91</v>
      </c>
      <c r="AQ36" s="1">
        <v>4.5</v>
      </c>
      <c r="AR36" s="1">
        <v>4.95</v>
      </c>
      <c r="AS36" s="1">
        <v>3.93555555555556</v>
      </c>
      <c r="AT36" s="1">
        <v>2100000000</v>
      </c>
      <c r="AU36" s="1">
        <v>0.445</v>
      </c>
      <c r="AV36" s="1">
        <v>639800000000</v>
      </c>
      <c r="AW36" s="1">
        <v>284711000000</v>
      </c>
      <c r="AX36" s="1">
        <v>43300000</v>
      </c>
      <c r="BE36" s="9">
        <v>0.097076943200201</v>
      </c>
      <c r="BF36" s="9">
        <f t="shared" ref="BF36:BF67" si="1">IF(BE36="","",-(BE36-AVERAGE($BE$3:$BE$120))/STDEV($BE$3:$BE$120))</f>
        <v>-0.99847684878751</v>
      </c>
    </row>
    <row r="37" ht="15.75" customHeight="1" spans="1:58">
      <c r="A37" s="7" t="s">
        <v>134</v>
      </c>
      <c r="B37" s="1" t="s">
        <v>107</v>
      </c>
      <c r="C37" s="1" t="s">
        <v>66</v>
      </c>
      <c r="D37" s="1">
        <v>2023</v>
      </c>
      <c r="E37" s="1">
        <v>0.949</v>
      </c>
      <c r="F37" s="1">
        <v>2023</v>
      </c>
      <c r="G37" s="1">
        <v>0.319346</v>
      </c>
      <c r="H37" s="1">
        <v>2023</v>
      </c>
      <c r="I37" s="1">
        <v>0.054</v>
      </c>
      <c r="J37" s="1">
        <v>2023</v>
      </c>
      <c r="K37" s="1">
        <v>82.4118</v>
      </c>
      <c r="L37" s="1">
        <v>2022</v>
      </c>
      <c r="M37" s="1">
        <v>1.639560819</v>
      </c>
      <c r="N37" s="1">
        <v>2025</v>
      </c>
      <c r="O37" s="1">
        <v>76</v>
      </c>
      <c r="P37" s="1" t="s">
        <v>135</v>
      </c>
      <c r="Q37" s="1">
        <v>0.043</v>
      </c>
      <c r="R37" s="1">
        <v>0.052</v>
      </c>
      <c r="S37" s="1">
        <v>94.1</v>
      </c>
      <c r="T37" s="1">
        <v>2023</v>
      </c>
      <c r="U37" s="1">
        <v>0.949</v>
      </c>
      <c r="V37" s="1">
        <v>2023</v>
      </c>
      <c r="W37" s="1">
        <v>0.448079</v>
      </c>
      <c r="X37" s="1">
        <v>2023</v>
      </c>
      <c r="Y37" s="1">
        <v>0.054</v>
      </c>
      <c r="Z37" s="1">
        <v>2023</v>
      </c>
      <c r="AA37" s="1">
        <v>82.4118</v>
      </c>
      <c r="AB37" s="1">
        <v>76</v>
      </c>
      <c r="AC37" s="1">
        <v>12</v>
      </c>
      <c r="AD37" s="1">
        <v>10</v>
      </c>
      <c r="AE37" s="1">
        <v>43.3</v>
      </c>
      <c r="AF37" s="1">
        <v>88.1</v>
      </c>
      <c r="AG37" s="1">
        <v>77.6</v>
      </c>
      <c r="AH37" s="1">
        <v>79.6</v>
      </c>
      <c r="AI37" s="1">
        <v>90</v>
      </c>
      <c r="AJ37" s="1">
        <v>70</v>
      </c>
      <c r="AK37" s="1">
        <v>1717.05714285714</v>
      </c>
      <c r="AL37" s="1">
        <v>54.7</v>
      </c>
      <c r="AM37" s="1">
        <v>1.72</v>
      </c>
      <c r="AN37" s="1">
        <v>2.43</v>
      </c>
      <c r="AO37" s="1">
        <v>1.77</v>
      </c>
      <c r="AP37" s="1">
        <v>1.05</v>
      </c>
      <c r="AQ37" s="1">
        <v>1.23</v>
      </c>
      <c r="AR37" s="1">
        <v>1</v>
      </c>
      <c r="AS37" s="1">
        <v>2.73</v>
      </c>
      <c r="AT37" s="1">
        <v>1500000000</v>
      </c>
      <c r="AU37" s="1">
        <v>0.433</v>
      </c>
      <c r="AV37" s="1">
        <v>677000000000</v>
      </c>
      <c r="AW37" s="1">
        <v>293141000000</v>
      </c>
      <c r="AX37" s="1">
        <v>5300000</v>
      </c>
      <c r="AY37" s="1">
        <v>0.0842664454545454</v>
      </c>
      <c r="AZ37" s="1">
        <v>0.0128217</v>
      </c>
      <c r="BA37" s="1">
        <v>0.119</v>
      </c>
      <c r="BB37" s="1">
        <v>-0.074</v>
      </c>
      <c r="BC37" s="1">
        <v>0.05</v>
      </c>
      <c r="BD37" s="1">
        <v>0.053</v>
      </c>
      <c r="BE37" s="9">
        <v>0.0077600691272888</v>
      </c>
      <c r="BF37" s="9">
        <f t="shared" si="1"/>
        <v>0.636960920099326</v>
      </c>
    </row>
    <row r="38" ht="15.75" customHeight="1" spans="1:58">
      <c r="A38" s="1" t="s">
        <v>136</v>
      </c>
      <c r="B38" s="1" t="s">
        <v>79</v>
      </c>
      <c r="C38" s="1" t="s">
        <v>63</v>
      </c>
      <c r="D38" s="1">
        <v>2023</v>
      </c>
      <c r="E38" s="1">
        <v>0.919</v>
      </c>
      <c r="F38" s="1">
        <v>2023</v>
      </c>
      <c r="G38" s="1">
        <v>0.490046</v>
      </c>
      <c r="H38" s="1">
        <v>2023</v>
      </c>
      <c r="I38" s="1">
        <v>0.08</v>
      </c>
      <c r="J38" s="1">
        <v>2023</v>
      </c>
      <c r="K38" s="1">
        <v>82.408</v>
      </c>
      <c r="L38" s="1">
        <v>2022</v>
      </c>
      <c r="M38" s="1">
        <v>1.206287622</v>
      </c>
      <c r="N38" s="1">
        <v>2025</v>
      </c>
      <c r="O38" s="1">
        <v>62</v>
      </c>
      <c r="P38" s="1" t="s">
        <v>137</v>
      </c>
      <c r="Q38" s="1">
        <v>0.034</v>
      </c>
      <c r="R38" s="1">
        <v>0.042</v>
      </c>
      <c r="S38" s="1">
        <v>77.2</v>
      </c>
      <c r="T38" s="1">
        <v>2023</v>
      </c>
      <c r="U38" s="1">
        <v>0.919</v>
      </c>
      <c r="V38" s="1">
        <v>2023</v>
      </c>
      <c r="W38" s="1">
        <v>0.580399</v>
      </c>
      <c r="X38" s="1">
        <v>2023</v>
      </c>
      <c r="Y38" s="1">
        <v>0.08</v>
      </c>
      <c r="Z38" s="1">
        <v>2023</v>
      </c>
      <c r="AA38" s="1">
        <v>82.408</v>
      </c>
      <c r="AB38" s="1">
        <v>62</v>
      </c>
      <c r="AC38" s="1">
        <v>35</v>
      </c>
      <c r="AD38" s="1">
        <v>21</v>
      </c>
      <c r="AE38" s="1">
        <v>61.4</v>
      </c>
      <c r="AF38" s="1">
        <v>73.4</v>
      </c>
      <c r="AG38" s="1">
        <v>60.8</v>
      </c>
      <c r="AH38" s="1">
        <v>82.8</v>
      </c>
      <c r="AI38" s="1">
        <v>70</v>
      </c>
      <c r="AJ38" s="1">
        <v>70</v>
      </c>
      <c r="AK38" s="1">
        <v>2001</v>
      </c>
      <c r="AL38" s="1">
        <v>27.7</v>
      </c>
      <c r="AM38" s="1">
        <v>2.79</v>
      </c>
      <c r="AN38" s="1">
        <v>3.37</v>
      </c>
      <c r="AO38" s="1">
        <v>4.17</v>
      </c>
      <c r="AP38" s="1">
        <v>2.22</v>
      </c>
      <c r="AQ38" s="1">
        <v>1.75</v>
      </c>
      <c r="AR38" s="1">
        <v>1.52</v>
      </c>
      <c r="AS38" s="1">
        <v>3.95</v>
      </c>
      <c r="AT38" s="1">
        <v>27800000000</v>
      </c>
      <c r="AU38" s="1">
        <v>0.614</v>
      </c>
      <c r="AV38" s="1">
        <v>525000000000</v>
      </c>
      <c r="AW38" s="1">
        <v>322350000000</v>
      </c>
      <c r="AX38" s="1">
        <v>9800000</v>
      </c>
      <c r="BE38" s="9">
        <v>0.0206935176727701</v>
      </c>
      <c r="BF38" s="9">
        <f t="shared" si="1"/>
        <v>0.400142844536497</v>
      </c>
    </row>
    <row r="39" ht="15.75" customHeight="1" spans="1:58">
      <c r="A39" s="7" t="s">
        <v>138</v>
      </c>
      <c r="B39" s="1" t="s">
        <v>69</v>
      </c>
      <c r="C39" s="1" t="s">
        <v>66</v>
      </c>
      <c r="D39" s="1">
        <v>2023</v>
      </c>
      <c r="E39" s="1">
        <v>0.915</v>
      </c>
      <c r="F39" s="1">
        <v>2023</v>
      </c>
      <c r="G39" s="1">
        <v>0.356322</v>
      </c>
      <c r="H39" s="1">
        <v>2023</v>
      </c>
      <c r="I39" s="1">
        <v>0.043</v>
      </c>
      <c r="J39" s="1">
        <v>2023</v>
      </c>
      <c r="K39" s="1">
        <v>83.7157</v>
      </c>
      <c r="L39" s="1">
        <v>2022</v>
      </c>
      <c r="M39" s="1">
        <v>0.510931492</v>
      </c>
      <c r="N39" s="1">
        <v>2025</v>
      </c>
      <c r="O39" s="1">
        <v>53</v>
      </c>
      <c r="P39" s="1" t="s">
        <v>139</v>
      </c>
      <c r="Q39" s="1">
        <v>0.076</v>
      </c>
      <c r="R39" s="1">
        <v>0.059</v>
      </c>
      <c r="S39" s="1">
        <v>82.2</v>
      </c>
      <c r="T39" s="1">
        <v>2023</v>
      </c>
      <c r="U39" s="1">
        <v>0.915</v>
      </c>
      <c r="V39" s="1">
        <v>2023</v>
      </c>
      <c r="W39" s="1">
        <v>0.513852</v>
      </c>
      <c r="X39" s="1">
        <v>2023</v>
      </c>
      <c r="Y39" s="1">
        <v>0.043</v>
      </c>
      <c r="Z39" s="1">
        <v>2023</v>
      </c>
      <c r="AA39" s="1">
        <v>83.7157</v>
      </c>
      <c r="AB39" s="1">
        <v>53</v>
      </c>
      <c r="AC39" s="1">
        <v>52</v>
      </c>
      <c r="AD39" s="1">
        <v>36</v>
      </c>
      <c r="AE39" s="1">
        <v>134.6</v>
      </c>
      <c r="AF39" s="1">
        <v>77.6</v>
      </c>
      <c r="AG39" s="1">
        <v>57.4</v>
      </c>
      <c r="AH39" s="1">
        <v>79.6</v>
      </c>
      <c r="AI39" s="1">
        <v>80</v>
      </c>
      <c r="AJ39" s="1">
        <v>60</v>
      </c>
      <c r="AK39" s="1">
        <v>1717.05714285714</v>
      </c>
      <c r="AL39" s="1">
        <v>40.4</v>
      </c>
      <c r="AM39" s="1">
        <v>2.12</v>
      </c>
      <c r="AN39" s="1">
        <v>2.13</v>
      </c>
      <c r="AO39" s="1">
        <v>2.23</v>
      </c>
      <c r="AP39" s="1">
        <v>2.23</v>
      </c>
      <c r="AQ39" s="1">
        <v>2.18</v>
      </c>
      <c r="AR39" s="1">
        <v>1.33</v>
      </c>
      <c r="AS39" s="1">
        <v>2.82</v>
      </c>
      <c r="AT39" s="1">
        <v>19900000000</v>
      </c>
      <c r="AU39" s="1">
        <v>1.346</v>
      </c>
      <c r="AV39" s="1">
        <v>3.5</v>
      </c>
      <c r="AW39" s="1">
        <v>4.711</v>
      </c>
      <c r="AX39" s="1">
        <v>59000000</v>
      </c>
      <c r="AY39" s="1">
        <v>0.0427894454545455</v>
      </c>
      <c r="AZ39" s="1">
        <v>0.0336212</v>
      </c>
      <c r="BA39" s="1">
        <v>0.019251796943821</v>
      </c>
      <c r="BB39" s="1">
        <v>0.0070776</v>
      </c>
      <c r="BC39" s="1">
        <v>0.0415903181818182</v>
      </c>
      <c r="BD39" s="1">
        <v>0.0420135</v>
      </c>
      <c r="BE39" s="9">
        <v>0.0246496313455056</v>
      </c>
      <c r="BF39" s="9">
        <f t="shared" si="1"/>
        <v>0.327704374364337</v>
      </c>
    </row>
    <row r="40" ht="15.75" customHeight="1" spans="1:58">
      <c r="A40" s="7" t="s">
        <v>140</v>
      </c>
      <c r="B40" s="1" t="s">
        <v>99</v>
      </c>
      <c r="C40" s="1" t="s">
        <v>63</v>
      </c>
      <c r="D40" s="1">
        <v>2023</v>
      </c>
      <c r="E40" s="1">
        <v>0.925</v>
      </c>
      <c r="F40" s="1">
        <v>2023</v>
      </c>
      <c r="G40" s="1">
        <v>0.380655</v>
      </c>
      <c r="H40" s="1">
        <v>2023</v>
      </c>
      <c r="I40" s="1">
        <v>0.059</v>
      </c>
      <c r="J40" s="1">
        <v>2023</v>
      </c>
      <c r="K40" s="1">
        <v>84.7123</v>
      </c>
      <c r="L40" s="1">
        <v>2022</v>
      </c>
      <c r="M40" s="1">
        <v>1.438772559</v>
      </c>
      <c r="N40" s="1">
        <v>2025</v>
      </c>
      <c r="O40" s="1">
        <v>71</v>
      </c>
      <c r="P40" s="1" t="s">
        <v>141</v>
      </c>
      <c r="Q40" s="1">
        <v>0.026</v>
      </c>
      <c r="R40" s="1">
        <v>0.033</v>
      </c>
      <c r="S40" s="1">
        <v>95.1</v>
      </c>
      <c r="T40" s="1">
        <v>2023</v>
      </c>
      <c r="U40" s="1">
        <v>0.925</v>
      </c>
      <c r="V40" s="1">
        <v>2023</v>
      </c>
      <c r="W40" s="1">
        <v>0.510426</v>
      </c>
      <c r="X40" s="1">
        <v>2023</v>
      </c>
      <c r="Y40" s="1">
        <v>0.059</v>
      </c>
      <c r="Z40" s="1">
        <v>2023</v>
      </c>
      <c r="AA40" s="1">
        <v>84.7123</v>
      </c>
      <c r="AB40" s="1">
        <v>71</v>
      </c>
      <c r="AC40" s="1">
        <v>18</v>
      </c>
      <c r="AD40" s="1">
        <v>2</v>
      </c>
      <c r="AE40" s="1">
        <v>249.7</v>
      </c>
      <c r="AF40" s="1">
        <v>78</v>
      </c>
      <c r="AG40" s="1">
        <v>62.5</v>
      </c>
      <c r="AH40" s="1">
        <v>76.2</v>
      </c>
      <c r="AI40" s="1">
        <v>60</v>
      </c>
      <c r="AJ40" s="1">
        <v>60</v>
      </c>
      <c r="AK40" s="1">
        <v>2000.75</v>
      </c>
      <c r="AL40" s="1">
        <v>91</v>
      </c>
      <c r="AM40" s="1">
        <v>1.83</v>
      </c>
      <c r="AN40" s="1">
        <v>1.59</v>
      </c>
      <c r="AO40" s="1">
        <v>2.57</v>
      </c>
      <c r="AP40" s="1">
        <v>2</v>
      </c>
      <c r="AQ40" s="1">
        <v>1.47</v>
      </c>
      <c r="AR40" s="1">
        <v>1.8</v>
      </c>
      <c r="AS40" s="1">
        <v>1.91</v>
      </c>
      <c r="AT40" s="1">
        <v>32500000000</v>
      </c>
      <c r="AU40" s="1">
        <v>2.497</v>
      </c>
      <c r="AV40" s="1">
        <v>6.4</v>
      </c>
      <c r="AW40" s="1">
        <v>15.9808</v>
      </c>
      <c r="AX40" s="1">
        <v>124500000</v>
      </c>
      <c r="AY40" s="1">
        <v>0.0642388545454545</v>
      </c>
      <c r="AZ40" s="1">
        <v>0.0513268</v>
      </c>
      <c r="BA40" s="1">
        <v>0.0134301119829735</v>
      </c>
      <c r="BB40" s="1">
        <v>0.0444365</v>
      </c>
      <c r="BC40" s="1">
        <v>0.0427511545454545</v>
      </c>
      <c r="BD40" s="1">
        <v>0.0394887</v>
      </c>
      <c r="BE40" s="9">
        <v>0.009129493090928</v>
      </c>
      <c r="BF40" s="9">
        <f t="shared" si="1"/>
        <v>0.611886065039733</v>
      </c>
    </row>
    <row r="41" ht="15.75" customHeight="1" spans="1:58">
      <c r="A41" s="1" t="s">
        <v>142</v>
      </c>
      <c r="B41" s="1" t="s">
        <v>79</v>
      </c>
      <c r="C41" s="1" t="s">
        <v>63</v>
      </c>
      <c r="D41" s="1">
        <v>2023</v>
      </c>
      <c r="E41" s="1">
        <v>0.754</v>
      </c>
      <c r="F41" s="1">
        <v>2023</v>
      </c>
      <c r="G41" s="1">
        <v>0.577101</v>
      </c>
      <c r="H41" s="1">
        <v>2023</v>
      </c>
      <c r="I41" s="1">
        <v>0.433</v>
      </c>
      <c r="J41" s="1">
        <v>2023</v>
      </c>
      <c r="K41" s="1">
        <v>77.8145</v>
      </c>
      <c r="L41" s="1">
        <v>2022</v>
      </c>
      <c r="M41" s="1">
        <v>0.156793341</v>
      </c>
      <c r="N41" s="1">
        <v>2025</v>
      </c>
      <c r="O41" s="1">
        <v>50</v>
      </c>
      <c r="P41" s="1" t="s">
        <v>143</v>
      </c>
      <c r="Q41" s="1">
        <v>0.179</v>
      </c>
      <c r="R41" s="1">
        <v>0.021</v>
      </c>
      <c r="S41" s="1">
        <v>54.4</v>
      </c>
      <c r="T41" s="1">
        <v>2023</v>
      </c>
      <c r="U41" s="1">
        <v>0.754</v>
      </c>
      <c r="V41" s="1">
        <v>2023</v>
      </c>
      <c r="W41" s="1">
        <v>0.561337</v>
      </c>
      <c r="X41" s="1">
        <v>2023</v>
      </c>
      <c r="Y41" s="1">
        <v>0.433</v>
      </c>
      <c r="Z41" s="1">
        <v>2023</v>
      </c>
      <c r="AA41" s="1">
        <v>77.8145</v>
      </c>
      <c r="AB41" s="1">
        <v>50</v>
      </c>
      <c r="AC41" s="1">
        <v>56</v>
      </c>
      <c r="AD41" s="1">
        <v>127</v>
      </c>
      <c r="AE41" s="1">
        <v>92.8</v>
      </c>
      <c r="AF41" s="1">
        <v>62.4</v>
      </c>
      <c r="AG41" s="1">
        <v>83.9</v>
      </c>
      <c r="AH41" s="1">
        <v>82.4</v>
      </c>
      <c r="AI41" s="1">
        <v>70</v>
      </c>
      <c r="AJ41" s="1">
        <v>60</v>
      </c>
      <c r="AK41" s="1">
        <v>2002</v>
      </c>
      <c r="AL41" s="1">
        <v>3</v>
      </c>
      <c r="AM41" s="1">
        <v>4.02</v>
      </c>
      <c r="AN41" s="1">
        <v>4.3</v>
      </c>
      <c r="AO41" s="1">
        <v>4.97</v>
      </c>
      <c r="AP41" s="1">
        <v>3.34</v>
      </c>
      <c r="AQ41" s="1">
        <v>3.25</v>
      </c>
      <c r="AR41" s="1">
        <v>3.48</v>
      </c>
      <c r="AS41" s="1">
        <v>5</v>
      </c>
      <c r="AT41" s="1">
        <v>1100000000</v>
      </c>
      <c r="AU41" s="1">
        <v>0.928</v>
      </c>
      <c r="AV41" s="1">
        <v>118500000000</v>
      </c>
      <c r="AW41" s="1">
        <v>109968000000</v>
      </c>
      <c r="AX41" s="1">
        <v>11300000</v>
      </c>
      <c r="BE41" s="9">
        <v>0.0465604147637328</v>
      </c>
      <c r="BF41" s="9">
        <f t="shared" si="1"/>
        <v>-0.073493306589163</v>
      </c>
    </row>
    <row r="42" ht="15.75" customHeight="1" spans="1:58">
      <c r="A42" s="1" t="s">
        <v>144</v>
      </c>
      <c r="B42" s="1" t="s">
        <v>145</v>
      </c>
      <c r="C42" s="1" t="s">
        <v>63</v>
      </c>
      <c r="D42" s="1">
        <v>2023</v>
      </c>
      <c r="E42" s="1">
        <v>0.837</v>
      </c>
      <c r="F42" s="1">
        <v>2023</v>
      </c>
      <c r="G42" s="1">
        <v>0.493075</v>
      </c>
      <c r="H42" s="1">
        <v>2023</v>
      </c>
      <c r="I42" s="1">
        <v>0.182</v>
      </c>
      <c r="J42" s="1">
        <v>2023</v>
      </c>
      <c r="K42" s="1">
        <v>74.4021</v>
      </c>
      <c r="L42" s="1">
        <v>2022</v>
      </c>
      <c r="M42" s="1">
        <v>-0.011234054</v>
      </c>
      <c r="N42" s="1">
        <v>2025</v>
      </c>
      <c r="O42" s="1">
        <v>38</v>
      </c>
      <c r="P42" s="1" t="s">
        <v>146</v>
      </c>
      <c r="Q42" s="1">
        <v>0.049</v>
      </c>
      <c r="R42" s="1">
        <v>0.146</v>
      </c>
      <c r="S42" s="1">
        <v>54.7</v>
      </c>
      <c r="T42" s="1">
        <v>2023</v>
      </c>
      <c r="U42" s="1">
        <v>0.837</v>
      </c>
      <c r="V42" s="1">
        <v>2023</v>
      </c>
      <c r="W42" s="1">
        <v>0.504716</v>
      </c>
      <c r="X42" s="1">
        <v>2023</v>
      </c>
      <c r="Y42" s="1">
        <v>0.182</v>
      </c>
      <c r="Z42" s="1">
        <v>2023</v>
      </c>
      <c r="AA42" s="1">
        <v>74.4021</v>
      </c>
      <c r="AB42" s="1">
        <v>38</v>
      </c>
      <c r="AC42" s="1">
        <v>96</v>
      </c>
      <c r="AD42" s="1">
        <v>43</v>
      </c>
      <c r="AE42" s="1">
        <v>22.8</v>
      </c>
      <c r="AF42" s="1">
        <v>69.3</v>
      </c>
      <c r="AG42" s="1">
        <v>91.7</v>
      </c>
      <c r="AH42" s="1">
        <v>73.2</v>
      </c>
      <c r="AI42" s="1">
        <v>50</v>
      </c>
      <c r="AJ42" s="1">
        <v>50</v>
      </c>
      <c r="AK42" s="1">
        <v>2001</v>
      </c>
      <c r="AL42" s="1">
        <v>1.9</v>
      </c>
      <c r="AM42" s="1">
        <v>3.23421052631579</v>
      </c>
      <c r="AN42" s="1">
        <v>3.68526315789474</v>
      </c>
      <c r="AO42" s="1">
        <v>3.41421052631579</v>
      </c>
      <c r="AP42" s="1">
        <v>2.82368421052632</v>
      </c>
      <c r="AQ42" s="1">
        <v>2.72947368421053</v>
      </c>
      <c r="AR42" s="1">
        <v>2.78368421052632</v>
      </c>
      <c r="AS42" s="1">
        <v>3.93555555555556</v>
      </c>
      <c r="AT42" s="1">
        <v>6100000000</v>
      </c>
      <c r="AU42" s="1">
        <v>0.228</v>
      </c>
      <c r="AV42" s="1">
        <v>783800000000</v>
      </c>
      <c r="AW42" s="1">
        <v>178706400000</v>
      </c>
      <c r="AX42" s="1">
        <v>19900000</v>
      </c>
      <c r="BE42" s="9">
        <v>0.0206935176727701</v>
      </c>
      <c r="BF42" s="9">
        <f t="shared" si="1"/>
        <v>0.400142844536497</v>
      </c>
    </row>
    <row r="43" ht="15.75" customHeight="1" spans="1:58">
      <c r="A43" s="1" t="s">
        <v>147</v>
      </c>
      <c r="B43" s="1" t="s">
        <v>79</v>
      </c>
      <c r="C43" s="1" t="s">
        <v>63</v>
      </c>
      <c r="D43" s="1">
        <v>2023</v>
      </c>
      <c r="E43" s="1">
        <v>0.852</v>
      </c>
      <c r="F43" s="1">
        <v>2023</v>
      </c>
      <c r="G43" s="1">
        <v>0.51866</v>
      </c>
      <c r="H43" s="1">
        <v>2023</v>
      </c>
      <c r="I43" s="1">
        <v>0.188</v>
      </c>
      <c r="J43" s="1">
        <v>2023</v>
      </c>
      <c r="K43" s="1">
        <v>80.4047</v>
      </c>
      <c r="L43" s="1">
        <v>2022</v>
      </c>
      <c r="M43" s="1">
        <v>0.210080639</v>
      </c>
      <c r="N43" s="1">
        <v>2025</v>
      </c>
      <c r="O43" s="1">
        <v>46</v>
      </c>
      <c r="P43" s="1" t="s">
        <v>148</v>
      </c>
      <c r="Q43" s="1">
        <v>0.021</v>
      </c>
      <c r="R43" s="1">
        <v>0.036</v>
      </c>
      <c r="S43" s="1">
        <v>42.7</v>
      </c>
      <c r="T43" s="1">
        <v>2023</v>
      </c>
      <c r="U43" s="1">
        <v>0.852</v>
      </c>
      <c r="V43" s="1">
        <v>2023</v>
      </c>
      <c r="W43" s="1">
        <v>0.511456</v>
      </c>
      <c r="X43" s="1">
        <v>2023</v>
      </c>
      <c r="Y43" s="1">
        <v>0.188</v>
      </c>
      <c r="Z43" s="1">
        <v>2023</v>
      </c>
      <c r="AA43" s="1">
        <v>80.4047</v>
      </c>
      <c r="AB43" s="1">
        <v>46</v>
      </c>
      <c r="AC43" s="1">
        <v>65</v>
      </c>
      <c r="AD43" s="1">
        <v>93</v>
      </c>
      <c r="AE43" s="1">
        <v>3.2</v>
      </c>
      <c r="AF43" s="1">
        <v>57.4</v>
      </c>
      <c r="AG43" s="1">
        <v>97.7</v>
      </c>
      <c r="AH43" s="1">
        <v>75.6</v>
      </c>
      <c r="AI43" s="1">
        <v>50</v>
      </c>
      <c r="AJ43" s="1">
        <v>50</v>
      </c>
      <c r="AK43" s="1">
        <v>2000.75</v>
      </c>
      <c r="AL43" s="1">
        <v>3.2</v>
      </c>
      <c r="AM43" s="1">
        <v>3.23421052631579</v>
      </c>
      <c r="AN43" s="1">
        <v>3.68526315789474</v>
      </c>
      <c r="AO43" s="1">
        <v>3.41421052631579</v>
      </c>
      <c r="AP43" s="1">
        <v>2.82368421052632</v>
      </c>
      <c r="AQ43" s="1">
        <v>2.72947368421053</v>
      </c>
      <c r="AR43" s="1">
        <v>2.78368421052632</v>
      </c>
      <c r="AS43" s="1">
        <v>3.93555555555556</v>
      </c>
      <c r="AT43" s="1">
        <v>758000000</v>
      </c>
      <c r="AU43" s="1">
        <v>0.032</v>
      </c>
      <c r="AV43" s="1">
        <v>250200000000</v>
      </c>
      <c r="AW43" s="1">
        <v>8006400000</v>
      </c>
      <c r="AX43" s="1">
        <v>4900000</v>
      </c>
      <c r="BE43" s="9">
        <v>0.009129493090928</v>
      </c>
      <c r="BF43" s="9">
        <f t="shared" si="1"/>
        <v>0.611886065039733</v>
      </c>
    </row>
    <row r="44" ht="15.75" customHeight="1" spans="1:58">
      <c r="A44" s="1" t="s">
        <v>149</v>
      </c>
      <c r="B44" s="1" t="s">
        <v>145</v>
      </c>
      <c r="C44" s="1" t="s">
        <v>63</v>
      </c>
      <c r="D44" s="1">
        <v>2023</v>
      </c>
      <c r="E44" s="1">
        <v>0.72</v>
      </c>
      <c r="F44" s="1">
        <v>2023</v>
      </c>
      <c r="G44" s="1">
        <v>0.507163</v>
      </c>
      <c r="H44" s="1">
        <v>2023</v>
      </c>
      <c r="I44" s="1">
        <v>0.34</v>
      </c>
      <c r="J44" s="1">
        <v>2023</v>
      </c>
      <c r="K44" s="1">
        <v>71.677</v>
      </c>
      <c r="L44" s="1">
        <v>2022</v>
      </c>
      <c r="M44" s="1">
        <v>-0.0946318026285714</v>
      </c>
      <c r="N44" s="1">
        <v>2025</v>
      </c>
      <c r="O44" s="1">
        <v>26</v>
      </c>
      <c r="P44" s="1">
        <v>7000000</v>
      </c>
      <c r="Q44" s="1">
        <v>0.0557</v>
      </c>
      <c r="R44" s="1">
        <v>0.133609756097561</v>
      </c>
      <c r="S44" s="1">
        <v>47.9619047619048</v>
      </c>
      <c r="T44" s="1">
        <v>2023</v>
      </c>
      <c r="U44" s="1">
        <v>0.72</v>
      </c>
      <c r="V44" s="1">
        <v>2023</v>
      </c>
      <c r="W44" s="1">
        <v>0.50802</v>
      </c>
      <c r="X44" s="1">
        <v>2023</v>
      </c>
      <c r="Y44" s="1">
        <v>0.34</v>
      </c>
      <c r="Z44" s="1">
        <v>2023</v>
      </c>
      <c r="AA44" s="1">
        <v>71.677</v>
      </c>
      <c r="AB44" s="1">
        <v>26</v>
      </c>
      <c r="AC44" s="1">
        <v>142</v>
      </c>
      <c r="AD44" s="1">
        <v>64</v>
      </c>
      <c r="AE44" s="1">
        <v>65.5275</v>
      </c>
      <c r="AF44" s="1">
        <v>66.3184210526316</v>
      </c>
      <c r="AG44" s="1">
        <v>85.1289473684211</v>
      </c>
      <c r="AH44" s="1">
        <v>74.0157894736842</v>
      </c>
      <c r="AI44" s="1">
        <v>50.2631578947368</v>
      </c>
      <c r="AJ44" s="1">
        <v>97.8974358974359</v>
      </c>
      <c r="AK44" s="1">
        <v>2000.75</v>
      </c>
      <c r="AL44" s="1">
        <v>16.5413793103448</v>
      </c>
      <c r="AM44" s="1">
        <v>3.23421052631579</v>
      </c>
      <c r="AN44" s="1">
        <v>3.68526315789474</v>
      </c>
      <c r="AO44" s="1">
        <v>3.41421052631579</v>
      </c>
      <c r="AP44" s="1">
        <v>2.82368421052632</v>
      </c>
      <c r="AQ44" s="1">
        <v>2.72947368421053</v>
      </c>
      <c r="AR44" s="1">
        <v>2.78368421052632</v>
      </c>
      <c r="AS44" s="1">
        <v>3.93555555555556</v>
      </c>
      <c r="AT44" s="1">
        <v>15892717948.718</v>
      </c>
      <c r="AU44" s="1">
        <v>0.655275</v>
      </c>
      <c r="AV44" s="1">
        <v>162341463416.554</v>
      </c>
      <c r="AW44" s="1">
        <v>106378302440.282</v>
      </c>
      <c r="AX44" s="1">
        <v>7000000</v>
      </c>
      <c r="BE44" s="9">
        <v>0.0841434946547197</v>
      </c>
      <c r="BF44" s="9">
        <f t="shared" si="1"/>
        <v>-0.76165877322468</v>
      </c>
    </row>
    <row r="45" ht="15.75" customHeight="1" spans="1:58">
      <c r="A45" s="1" t="s">
        <v>150</v>
      </c>
      <c r="B45" s="1" t="s">
        <v>92</v>
      </c>
      <c r="C45" s="1" t="s">
        <v>63</v>
      </c>
      <c r="D45" s="1">
        <v>2023</v>
      </c>
      <c r="E45" s="1">
        <v>0.617</v>
      </c>
      <c r="F45" s="1">
        <v>2023</v>
      </c>
      <c r="G45" s="1">
        <v>0.596561</v>
      </c>
      <c r="H45" s="1">
        <v>2023</v>
      </c>
      <c r="I45" s="1">
        <v>0.475</v>
      </c>
      <c r="J45" s="1">
        <v>2023</v>
      </c>
      <c r="K45" s="1">
        <v>68.9637</v>
      </c>
      <c r="L45" s="1">
        <v>2022</v>
      </c>
      <c r="M45" s="1">
        <v>-0.0946318026285714</v>
      </c>
      <c r="N45" s="1">
        <v>2025</v>
      </c>
      <c r="O45" s="1">
        <v>34</v>
      </c>
      <c r="P45" s="1" t="s">
        <v>151</v>
      </c>
      <c r="Q45" s="1">
        <v>0.012</v>
      </c>
      <c r="R45" s="1">
        <v>0.312</v>
      </c>
      <c r="S45" s="1">
        <v>42.5</v>
      </c>
      <c r="T45" s="1">
        <v>2023</v>
      </c>
      <c r="U45" s="1">
        <v>0.617</v>
      </c>
      <c r="V45" s="1">
        <v>2023</v>
      </c>
      <c r="W45" s="1">
        <v>0.587694</v>
      </c>
      <c r="X45" s="1">
        <v>2023</v>
      </c>
      <c r="Y45" s="1">
        <v>0.475</v>
      </c>
      <c r="Z45" s="1">
        <v>2023</v>
      </c>
      <c r="AA45" s="1">
        <v>68.9637</v>
      </c>
      <c r="AB45" s="1">
        <v>34</v>
      </c>
      <c r="AC45" s="1">
        <v>109</v>
      </c>
      <c r="AD45" s="1">
        <v>102</v>
      </c>
      <c r="AE45" s="1">
        <v>115.9</v>
      </c>
      <c r="AF45" s="1">
        <v>55.3</v>
      </c>
      <c r="AG45" s="1">
        <v>88.8</v>
      </c>
      <c r="AH45" s="1">
        <v>68.4</v>
      </c>
      <c r="AI45" s="1">
        <v>35</v>
      </c>
      <c r="AJ45" s="1">
        <v>20</v>
      </c>
      <c r="AK45" s="1">
        <v>2002</v>
      </c>
      <c r="AL45" s="1">
        <v>16.5413793103448</v>
      </c>
      <c r="AM45" s="1">
        <v>3.23421052631579</v>
      </c>
      <c r="AN45" s="1">
        <v>3.68526315789474</v>
      </c>
      <c r="AO45" s="1">
        <v>3.41421052631579</v>
      </c>
      <c r="AP45" s="1">
        <v>2.82368421052632</v>
      </c>
      <c r="AQ45" s="1">
        <v>2.72947368421053</v>
      </c>
      <c r="AR45" s="1">
        <v>2.78368421052632</v>
      </c>
      <c r="AS45" s="1">
        <v>3.93555555555556</v>
      </c>
      <c r="AT45" s="1">
        <v>528000000</v>
      </c>
      <c r="AU45" s="1">
        <v>1.159</v>
      </c>
      <c r="AV45" s="1">
        <v>70100000000</v>
      </c>
      <c r="AW45" s="1">
        <v>81245900000</v>
      </c>
      <c r="AX45" s="1">
        <v>7600000</v>
      </c>
      <c r="BE45" s="9">
        <v>0.116553195127514</v>
      </c>
      <c r="BF45" s="9">
        <f t="shared" si="1"/>
        <v>-1.35509700963507</v>
      </c>
    </row>
    <row r="46" ht="15.75" customHeight="1" spans="1:58">
      <c r="A46" s="1" t="s">
        <v>152</v>
      </c>
      <c r="B46" s="1" t="s">
        <v>107</v>
      </c>
      <c r="C46" s="1" t="s">
        <v>66</v>
      </c>
      <c r="D46" s="1">
        <v>2023</v>
      </c>
      <c r="E46" s="1">
        <v>0.889</v>
      </c>
      <c r="F46" s="1">
        <v>2023</v>
      </c>
      <c r="G46" s="1">
        <v>0.418726</v>
      </c>
      <c r="H46" s="1">
        <v>2023</v>
      </c>
      <c r="I46" s="1">
        <v>0.117</v>
      </c>
      <c r="J46" s="1">
        <v>2023</v>
      </c>
      <c r="K46" s="1">
        <v>76.1898</v>
      </c>
      <c r="L46" s="1">
        <v>2022</v>
      </c>
      <c r="M46" s="1">
        <v>1.170886755</v>
      </c>
      <c r="N46" s="1">
        <v>2025</v>
      </c>
      <c r="O46" s="1">
        <v>60</v>
      </c>
      <c r="P46" s="1" t="s">
        <v>153</v>
      </c>
      <c r="Q46" s="1">
        <v>0.065</v>
      </c>
      <c r="R46" s="1">
        <v>0.091</v>
      </c>
      <c r="S46" s="1">
        <v>87.8</v>
      </c>
      <c r="T46" s="1">
        <v>2023</v>
      </c>
      <c r="U46" s="1">
        <v>0.889</v>
      </c>
      <c r="V46" s="1">
        <v>2023</v>
      </c>
      <c r="W46" s="1">
        <v>0.466464</v>
      </c>
      <c r="X46" s="1">
        <v>2023</v>
      </c>
      <c r="Y46" s="1">
        <v>0.117</v>
      </c>
      <c r="Z46" s="1">
        <v>2023</v>
      </c>
      <c r="AA46" s="1">
        <v>76.1898</v>
      </c>
      <c r="AB46" s="1">
        <v>60</v>
      </c>
      <c r="AC46" s="1">
        <v>37</v>
      </c>
      <c r="AD46" s="1">
        <v>25</v>
      </c>
      <c r="AE46" s="1">
        <v>43.6</v>
      </c>
      <c r="AF46" s="1">
        <v>81.8</v>
      </c>
      <c r="AG46" s="1">
        <v>76.2</v>
      </c>
      <c r="AH46" s="1">
        <v>79.6</v>
      </c>
      <c r="AI46" s="1">
        <v>85</v>
      </c>
      <c r="AJ46" s="1">
        <v>60</v>
      </c>
      <c r="AK46" s="1">
        <v>1717.05714285714</v>
      </c>
      <c r="AL46" s="1">
        <v>19.3</v>
      </c>
      <c r="AM46" s="1">
        <v>2.2616</v>
      </c>
      <c r="AN46" s="1">
        <v>2.8232</v>
      </c>
      <c r="AO46" s="1">
        <v>2.538</v>
      </c>
      <c r="AP46" s="1">
        <v>2.2348</v>
      </c>
      <c r="AQ46" s="1">
        <v>1.734</v>
      </c>
      <c r="AR46" s="1">
        <v>1.4236</v>
      </c>
      <c r="AS46" s="1">
        <v>2.926</v>
      </c>
      <c r="AT46" s="1">
        <v>1500000000</v>
      </c>
      <c r="AU46" s="1">
        <v>0.436</v>
      </c>
      <c r="AV46" s="1">
        <v>79000000000</v>
      </c>
      <c r="AW46" s="1">
        <v>34444000000</v>
      </c>
      <c r="AX46" s="1">
        <v>1900000</v>
      </c>
      <c r="BE46" s="9">
        <v>0.0155201382545776</v>
      </c>
      <c r="BF46" s="9">
        <f t="shared" si="1"/>
        <v>0.494870074761629</v>
      </c>
    </row>
    <row r="47" ht="15.75" customHeight="1" spans="1:58">
      <c r="A47" s="1" t="s">
        <v>154</v>
      </c>
      <c r="B47" s="1" t="s">
        <v>79</v>
      </c>
      <c r="C47" s="1" t="s">
        <v>63</v>
      </c>
      <c r="D47" s="1">
        <v>2023</v>
      </c>
      <c r="E47" s="1">
        <v>0.752</v>
      </c>
      <c r="F47" s="1">
        <v>2023</v>
      </c>
      <c r="G47" s="1">
        <v>0.604424</v>
      </c>
      <c r="H47" s="1">
        <v>2023</v>
      </c>
      <c r="I47" s="1">
        <v>0.36</v>
      </c>
      <c r="J47" s="1">
        <v>2023</v>
      </c>
      <c r="K47" s="1">
        <v>77.817</v>
      </c>
      <c r="L47" s="1">
        <v>2022</v>
      </c>
      <c r="M47" s="1">
        <v>-1.132511377</v>
      </c>
      <c r="N47" s="1">
        <v>2025</v>
      </c>
      <c r="O47" s="1">
        <v>23</v>
      </c>
      <c r="P47" s="1" t="s">
        <v>155</v>
      </c>
      <c r="Q47" s="1">
        <v>0.116</v>
      </c>
      <c r="R47" s="1">
        <v>2.213</v>
      </c>
      <c r="S47" s="1">
        <v>22.3</v>
      </c>
      <c r="T47" s="1">
        <v>2023</v>
      </c>
      <c r="U47" s="1">
        <v>0.752</v>
      </c>
      <c r="V47" s="1">
        <v>2023</v>
      </c>
      <c r="W47" s="1">
        <v>0.644829</v>
      </c>
      <c r="X47" s="1">
        <v>2023</v>
      </c>
      <c r="Y47" s="1">
        <v>0.36</v>
      </c>
      <c r="Z47" s="1">
        <v>2023</v>
      </c>
      <c r="AA47" s="1">
        <v>77.817</v>
      </c>
      <c r="AB47" s="1">
        <v>23</v>
      </c>
      <c r="AC47" s="1">
        <v>153</v>
      </c>
      <c r="AD47" s="1">
        <v>174</v>
      </c>
      <c r="AE47" s="1">
        <v>195.2</v>
      </c>
      <c r="AF47" s="1">
        <v>47.8</v>
      </c>
      <c r="AG47" s="1">
        <v>90.3</v>
      </c>
      <c r="AH47" s="1">
        <v>65.4</v>
      </c>
      <c r="AI47" s="1">
        <v>20</v>
      </c>
      <c r="AJ47" s="1">
        <v>20</v>
      </c>
      <c r="AK47" s="1">
        <v>2000.75</v>
      </c>
      <c r="AL47" s="1">
        <v>1.1</v>
      </c>
      <c r="AM47" s="1">
        <v>4.43</v>
      </c>
      <c r="AN47" s="1">
        <v>4.58</v>
      </c>
      <c r="AO47" s="1">
        <v>4.96</v>
      </c>
      <c r="AP47" s="1">
        <v>3.48</v>
      </c>
      <c r="AQ47" s="1">
        <v>4.09</v>
      </c>
      <c r="AR47" s="1">
        <v>4.83</v>
      </c>
      <c r="AS47" s="1">
        <v>4.32</v>
      </c>
      <c r="AT47" s="1">
        <v>458000000</v>
      </c>
      <c r="AU47" s="1">
        <v>1.952</v>
      </c>
      <c r="AV47" s="1">
        <v>66700000000</v>
      </c>
      <c r="AW47" s="1">
        <v>130198400000</v>
      </c>
      <c r="AX47" s="1">
        <v>5400000</v>
      </c>
      <c r="BE47" s="9">
        <v>0.26659117303269</v>
      </c>
      <c r="BF47" s="9">
        <f t="shared" si="1"/>
        <v>-4.102369329457</v>
      </c>
    </row>
    <row r="48" ht="15.75" customHeight="1" spans="1:58">
      <c r="A48" s="1" t="s">
        <v>156</v>
      </c>
      <c r="B48" s="1" t="s">
        <v>74</v>
      </c>
      <c r="C48" s="1" t="s">
        <v>66</v>
      </c>
      <c r="D48" s="1">
        <v>2023</v>
      </c>
      <c r="E48" s="1">
        <v>0.938</v>
      </c>
      <c r="F48" s="1">
        <v>2023</v>
      </c>
      <c r="G48" s="1">
        <v>0.430925</v>
      </c>
      <c r="H48" s="1">
        <v>2023</v>
      </c>
      <c r="I48" s="1">
        <v>0.101564102564103</v>
      </c>
      <c r="J48" s="1">
        <v>2023</v>
      </c>
      <c r="K48" s="1">
        <v>83.6298</v>
      </c>
      <c r="L48" s="1">
        <v>2022</v>
      </c>
      <c r="M48" s="1">
        <v>1.629348516</v>
      </c>
      <c r="N48" s="1">
        <v>2025</v>
      </c>
      <c r="O48" s="1">
        <v>58.2051282051282</v>
      </c>
      <c r="P48" s="1">
        <v>40000</v>
      </c>
      <c r="Q48" s="1">
        <v>0.0611052631578947</v>
      </c>
      <c r="R48" s="1">
        <v>0.0709736842105263</v>
      </c>
      <c r="S48" s="1">
        <v>94.4</v>
      </c>
      <c r="T48" s="1">
        <v>2023</v>
      </c>
      <c r="U48" s="1">
        <v>0.938</v>
      </c>
      <c r="V48" s="1">
        <v>2023</v>
      </c>
      <c r="W48" s="1">
        <v>0.483271</v>
      </c>
      <c r="X48" s="1">
        <v>2023</v>
      </c>
      <c r="Y48" s="1">
        <v>0.0868421052631579</v>
      </c>
      <c r="Z48" s="1">
        <v>2023</v>
      </c>
      <c r="AA48" s="1">
        <v>83.6298</v>
      </c>
      <c r="AB48" s="1">
        <v>58.2051282051282</v>
      </c>
      <c r="AC48" s="1">
        <v>48.3333333333333</v>
      </c>
      <c r="AD48" s="1">
        <v>83</v>
      </c>
      <c r="AE48" s="1">
        <v>61.8447368421053</v>
      </c>
      <c r="AF48" s="1">
        <v>78.9837837837838</v>
      </c>
      <c r="AG48" s="1">
        <v>71.4578947368421</v>
      </c>
      <c r="AH48" s="1">
        <v>86.6</v>
      </c>
      <c r="AI48" s="1">
        <v>80</v>
      </c>
      <c r="AJ48" s="1">
        <v>80</v>
      </c>
      <c r="AK48" s="1">
        <v>1717.05714285714</v>
      </c>
      <c r="AL48" s="1">
        <v>43.696875</v>
      </c>
      <c r="AM48" s="1">
        <v>2.2616</v>
      </c>
      <c r="AN48" s="1">
        <v>2.8232</v>
      </c>
      <c r="AO48" s="1">
        <v>2.538</v>
      </c>
      <c r="AP48" s="1">
        <v>2.2348</v>
      </c>
      <c r="AQ48" s="1">
        <v>1.734</v>
      </c>
      <c r="AR48" s="1">
        <v>1.4236</v>
      </c>
      <c r="AS48" s="1">
        <v>2.926</v>
      </c>
      <c r="AT48" s="1">
        <v>18657710526.3158</v>
      </c>
      <c r="AU48" s="1">
        <v>0.618447368421053</v>
      </c>
      <c r="AV48" s="1">
        <v>258984210527.103</v>
      </c>
      <c r="AW48" s="1">
        <v>160168103463.091</v>
      </c>
      <c r="AX48" s="1">
        <v>40000</v>
      </c>
      <c r="BE48" s="9">
        <v>0</v>
      </c>
      <c r="BF48" s="9">
        <f t="shared" si="1"/>
        <v>0.779051765437024</v>
      </c>
    </row>
    <row r="49" ht="15.75" customHeight="1" spans="1:58">
      <c r="A49" s="1" t="s">
        <v>157</v>
      </c>
      <c r="B49" s="1" t="s">
        <v>107</v>
      </c>
      <c r="C49" s="1" t="s">
        <v>66</v>
      </c>
      <c r="D49" s="1">
        <v>2023</v>
      </c>
      <c r="E49" s="1">
        <v>0.895</v>
      </c>
      <c r="F49" s="1">
        <v>2023</v>
      </c>
      <c r="G49" s="1">
        <v>0.461342</v>
      </c>
      <c r="H49" s="1">
        <v>2023</v>
      </c>
      <c r="I49" s="1">
        <v>0.07</v>
      </c>
      <c r="J49" s="1">
        <v>2023</v>
      </c>
      <c r="K49" s="1">
        <v>76.025</v>
      </c>
      <c r="L49" s="1">
        <v>2022</v>
      </c>
      <c r="M49" s="1">
        <v>1.298881292</v>
      </c>
      <c r="N49" s="1">
        <v>2025</v>
      </c>
      <c r="O49" s="1">
        <v>65</v>
      </c>
      <c r="P49" s="1" t="s">
        <v>158</v>
      </c>
      <c r="Q49" s="1">
        <v>0.07</v>
      </c>
      <c r="R49" s="1">
        <v>0.087</v>
      </c>
      <c r="S49" s="1">
        <v>89.4</v>
      </c>
      <c r="T49" s="1">
        <v>2023</v>
      </c>
      <c r="U49" s="1">
        <v>0.895</v>
      </c>
      <c r="V49" s="1">
        <v>2023</v>
      </c>
      <c r="W49" s="1">
        <v>0.460234</v>
      </c>
      <c r="X49" s="1">
        <v>2023</v>
      </c>
      <c r="Y49" s="1">
        <v>0.07</v>
      </c>
      <c r="Z49" s="1">
        <v>2023</v>
      </c>
      <c r="AA49" s="1">
        <v>76.025</v>
      </c>
      <c r="AB49" s="1">
        <v>65</v>
      </c>
      <c r="AC49" s="1">
        <v>28</v>
      </c>
      <c r="AD49" s="1">
        <v>29</v>
      </c>
      <c r="AE49" s="1">
        <v>38.3</v>
      </c>
      <c r="AF49" s="1">
        <v>81</v>
      </c>
      <c r="AG49" s="1">
        <v>76.9</v>
      </c>
      <c r="AH49" s="1">
        <v>79.6</v>
      </c>
      <c r="AI49" s="1">
        <v>70</v>
      </c>
      <c r="AJ49" s="1">
        <v>70</v>
      </c>
      <c r="AK49" s="1">
        <v>1717.05714285714</v>
      </c>
      <c r="AL49" s="1">
        <v>16.2</v>
      </c>
      <c r="AM49" s="1">
        <v>2.2616</v>
      </c>
      <c r="AN49" s="1">
        <v>2.8232</v>
      </c>
      <c r="AO49" s="1">
        <v>2.538</v>
      </c>
      <c r="AP49" s="1">
        <v>2.2348</v>
      </c>
      <c r="AQ49" s="1">
        <v>1.734</v>
      </c>
      <c r="AR49" s="1">
        <v>1.4236</v>
      </c>
      <c r="AS49" s="1">
        <v>2.926</v>
      </c>
      <c r="AT49" s="1">
        <v>2200000000</v>
      </c>
      <c r="AU49" s="1">
        <v>0.383</v>
      </c>
      <c r="AV49" s="1">
        <v>147400000000</v>
      </c>
      <c r="AW49" s="1">
        <v>56454200000</v>
      </c>
      <c r="AX49" s="1">
        <v>2900000</v>
      </c>
      <c r="BE49" s="9">
        <v>0.0109553917091136</v>
      </c>
      <c r="BF49" s="9">
        <f t="shared" si="1"/>
        <v>0.578452924960274</v>
      </c>
    </row>
    <row r="50" ht="15.75" customHeight="1" spans="1:58">
      <c r="A50" s="1" t="s">
        <v>159</v>
      </c>
      <c r="B50" s="1" t="s">
        <v>74</v>
      </c>
      <c r="C50" s="1" t="s">
        <v>66</v>
      </c>
      <c r="D50" s="1">
        <v>2023</v>
      </c>
      <c r="E50" s="1">
        <v>0.922</v>
      </c>
      <c r="F50" s="1">
        <v>2023</v>
      </c>
      <c r="G50" s="1">
        <v>0.370015</v>
      </c>
      <c r="H50" s="1">
        <v>2023</v>
      </c>
      <c r="I50" s="1">
        <v>0.044</v>
      </c>
      <c r="J50" s="1">
        <v>2023</v>
      </c>
      <c r="K50" s="1">
        <v>82.2294</v>
      </c>
      <c r="L50" s="1">
        <v>2022</v>
      </c>
      <c r="M50" s="1">
        <v>1.83396697</v>
      </c>
      <c r="N50" s="1">
        <v>2025</v>
      </c>
      <c r="O50" s="1">
        <v>78</v>
      </c>
      <c r="P50" s="1" t="s">
        <v>160</v>
      </c>
      <c r="Q50" s="1">
        <v>0.052</v>
      </c>
      <c r="R50" s="1">
        <v>0.029</v>
      </c>
      <c r="S50" s="1">
        <v>97.8</v>
      </c>
      <c r="T50" s="1">
        <v>2023</v>
      </c>
      <c r="U50" s="1">
        <v>0.922</v>
      </c>
      <c r="V50" s="1">
        <v>2023</v>
      </c>
      <c r="W50" s="1">
        <v>0.483412</v>
      </c>
      <c r="X50" s="1">
        <v>2023</v>
      </c>
      <c r="Y50" s="1">
        <v>0.044</v>
      </c>
      <c r="Z50" s="1">
        <v>2023</v>
      </c>
      <c r="AA50" s="1">
        <v>82.2294</v>
      </c>
      <c r="AB50" s="1">
        <v>78</v>
      </c>
      <c r="AC50" s="1">
        <v>8</v>
      </c>
      <c r="AD50" s="1">
        <v>42</v>
      </c>
      <c r="AE50" s="1">
        <v>25.7</v>
      </c>
      <c r="AF50" s="1">
        <v>89.2</v>
      </c>
      <c r="AG50" s="1">
        <v>62.7</v>
      </c>
      <c r="AH50" s="1">
        <v>79.6</v>
      </c>
      <c r="AI50" s="1">
        <v>95</v>
      </c>
      <c r="AJ50" s="1">
        <v>80</v>
      </c>
      <c r="AK50" s="1">
        <v>1717.05714285714</v>
      </c>
      <c r="AL50" s="1">
        <v>48.7</v>
      </c>
      <c r="AM50" s="1">
        <v>2.29</v>
      </c>
      <c r="AN50" s="1">
        <v>2.79</v>
      </c>
      <c r="AO50" s="1">
        <v>2.78</v>
      </c>
      <c r="AP50" s="1">
        <v>2.29</v>
      </c>
      <c r="AQ50" s="1">
        <v>1.83</v>
      </c>
      <c r="AR50" s="1">
        <v>1.28</v>
      </c>
      <c r="AS50" s="1">
        <v>2.82</v>
      </c>
      <c r="AT50" s="1">
        <v>322100000000</v>
      </c>
      <c r="AU50" s="1">
        <v>0.257</v>
      </c>
      <c r="AV50" s="1">
        <v>98300000000</v>
      </c>
      <c r="AW50" s="1">
        <v>25263100000</v>
      </c>
      <c r="AX50" s="1">
        <v>700000</v>
      </c>
      <c r="BE50" s="9">
        <v>0</v>
      </c>
      <c r="BF50" s="9">
        <f t="shared" si="1"/>
        <v>0.779051765437024</v>
      </c>
    </row>
    <row r="51" ht="15.75" customHeight="1" spans="1:58">
      <c r="A51" s="1" t="s">
        <v>161</v>
      </c>
      <c r="B51" s="1" t="s">
        <v>92</v>
      </c>
      <c r="C51" s="1" t="s">
        <v>63</v>
      </c>
      <c r="D51" s="1">
        <v>2023</v>
      </c>
      <c r="E51" s="1">
        <v>0.819</v>
      </c>
      <c r="F51" s="1">
        <v>2023</v>
      </c>
      <c r="G51" s="1">
        <v>0.491205</v>
      </c>
      <c r="H51" s="1">
        <v>2023</v>
      </c>
      <c r="I51" s="1">
        <v>0.172</v>
      </c>
      <c r="J51" s="1">
        <v>2023</v>
      </c>
      <c r="K51" s="1">
        <v>76.6571</v>
      </c>
      <c r="L51" s="1">
        <v>2022</v>
      </c>
      <c r="M51" s="1">
        <v>0.64400661</v>
      </c>
      <c r="N51" s="1">
        <v>2025</v>
      </c>
      <c r="O51" s="1">
        <v>52</v>
      </c>
      <c r="P51" s="1" t="s">
        <v>162</v>
      </c>
      <c r="Q51" s="1">
        <v>0.039</v>
      </c>
      <c r="R51" s="1">
        <v>0.025</v>
      </c>
      <c r="S51" s="1">
        <v>66.3</v>
      </c>
      <c r="T51" s="1">
        <v>2023</v>
      </c>
      <c r="U51" s="1">
        <v>0.819</v>
      </c>
      <c r="V51" s="1">
        <v>2023</v>
      </c>
      <c r="W51" s="1">
        <v>0.488957</v>
      </c>
      <c r="X51" s="1">
        <v>2023</v>
      </c>
      <c r="Y51" s="1">
        <v>0.172</v>
      </c>
      <c r="Z51" s="1">
        <v>2023</v>
      </c>
      <c r="AA51" s="1">
        <v>76.6571</v>
      </c>
      <c r="AB51" s="1">
        <v>52</v>
      </c>
      <c r="AC51" s="1">
        <v>54</v>
      </c>
      <c r="AD51" s="1">
        <v>89</v>
      </c>
      <c r="AE51" s="1">
        <v>69.8</v>
      </c>
      <c r="AF51" s="1">
        <v>76.6</v>
      </c>
      <c r="AG51" s="1">
        <v>83.9</v>
      </c>
      <c r="AH51" s="1">
        <v>83.4</v>
      </c>
      <c r="AI51" s="1">
        <v>60</v>
      </c>
      <c r="AJ51" s="1">
        <v>50</v>
      </c>
      <c r="AK51" s="1">
        <v>2003</v>
      </c>
      <c r="AL51" s="1">
        <v>8.4</v>
      </c>
      <c r="AM51" s="1">
        <v>2.57</v>
      </c>
      <c r="AN51" s="1">
        <v>2.67</v>
      </c>
      <c r="AO51" s="1">
        <v>2.37</v>
      </c>
      <c r="AP51" s="1">
        <v>2</v>
      </c>
      <c r="AQ51" s="1">
        <v>2.23</v>
      </c>
      <c r="AR51" s="1">
        <v>2.23</v>
      </c>
      <c r="AS51" s="1">
        <v>4.5</v>
      </c>
      <c r="AT51" s="1">
        <v>16900000000</v>
      </c>
      <c r="AU51" s="1">
        <v>0.698</v>
      </c>
      <c r="AV51" s="1">
        <v>1.3</v>
      </c>
      <c r="AW51" s="1">
        <v>0.9074</v>
      </c>
      <c r="AX51" s="1">
        <v>33100000</v>
      </c>
      <c r="BE51" s="9">
        <v>0.0155201382545776</v>
      </c>
      <c r="BF51" s="9">
        <f t="shared" si="1"/>
        <v>0.494870074761629</v>
      </c>
    </row>
    <row r="52" ht="15.75" customHeight="1" spans="1:58">
      <c r="A52" s="1" t="s">
        <v>163</v>
      </c>
      <c r="B52" s="1" t="s">
        <v>62</v>
      </c>
      <c r="C52" s="1" t="s">
        <v>63</v>
      </c>
      <c r="D52" s="1">
        <v>2023</v>
      </c>
      <c r="E52" s="1">
        <v>0.766</v>
      </c>
      <c r="F52" s="1">
        <v>2023</v>
      </c>
      <c r="G52" s="1">
        <v>0.469026</v>
      </c>
      <c r="H52" s="1">
        <v>2023</v>
      </c>
      <c r="I52" s="1">
        <v>0.309</v>
      </c>
      <c r="J52" s="1">
        <v>2023</v>
      </c>
      <c r="K52" s="1">
        <v>81.0412</v>
      </c>
      <c r="L52" s="1">
        <v>2022</v>
      </c>
      <c r="M52" s="1">
        <v>-0.657294631</v>
      </c>
      <c r="N52" s="1">
        <v>2025</v>
      </c>
      <c r="O52" s="1">
        <v>39</v>
      </c>
      <c r="P52" s="1" t="s">
        <v>126</v>
      </c>
      <c r="Q52" s="1">
        <v>0.041</v>
      </c>
      <c r="R52" s="1">
        <v>0.026</v>
      </c>
      <c r="S52" s="1">
        <v>51.6</v>
      </c>
      <c r="T52" s="1">
        <v>2023</v>
      </c>
      <c r="U52" s="1">
        <v>0.766</v>
      </c>
      <c r="V52" s="1">
        <v>2023</v>
      </c>
      <c r="W52" s="1">
        <v>0.47675</v>
      </c>
      <c r="X52" s="1">
        <v>2023</v>
      </c>
      <c r="Y52" s="1">
        <v>0.309</v>
      </c>
      <c r="Z52" s="1">
        <v>2023</v>
      </c>
      <c r="AA52" s="1">
        <v>81.0412</v>
      </c>
      <c r="AB52" s="1">
        <v>39</v>
      </c>
      <c r="AC52" s="1">
        <v>91</v>
      </c>
      <c r="AD52" s="1">
        <v>60</v>
      </c>
      <c r="AE52" s="1">
        <v>123.1</v>
      </c>
      <c r="AF52" s="1">
        <v>48.8</v>
      </c>
      <c r="AG52" s="1">
        <v>91.5</v>
      </c>
      <c r="AH52" s="1">
        <v>63.2</v>
      </c>
      <c r="AI52" s="1">
        <v>35</v>
      </c>
      <c r="AJ52" s="1">
        <v>30</v>
      </c>
      <c r="AK52" s="1">
        <v>2002</v>
      </c>
      <c r="AL52" s="1">
        <v>16.5413793103448</v>
      </c>
      <c r="AM52" s="1">
        <v>3.23421052631579</v>
      </c>
      <c r="AN52" s="1">
        <v>3.68526315789474</v>
      </c>
      <c r="AO52" s="1">
        <v>3.41421052631579</v>
      </c>
      <c r="AP52" s="1">
        <v>2.82368421052632</v>
      </c>
      <c r="AQ52" s="1">
        <v>2.72947368421053</v>
      </c>
      <c r="AR52" s="1">
        <v>2.78368421052632</v>
      </c>
      <c r="AS52" s="1">
        <v>3.93555555555556</v>
      </c>
      <c r="AT52" s="1">
        <v>722000000</v>
      </c>
      <c r="AU52" s="1">
        <v>1.231</v>
      </c>
      <c r="AV52" s="1">
        <v>12900000000</v>
      </c>
      <c r="AW52" s="1">
        <v>15879900000</v>
      </c>
      <c r="AX52" s="1">
        <v>400000</v>
      </c>
      <c r="BE52" s="9">
        <v>0.116553195127514</v>
      </c>
      <c r="BF52" s="9">
        <f t="shared" si="1"/>
        <v>-1.35509700963507</v>
      </c>
    </row>
    <row r="53" ht="15.75" customHeight="1" spans="1:58">
      <c r="A53" s="1" t="s">
        <v>164</v>
      </c>
      <c r="B53" s="1" t="s">
        <v>69</v>
      </c>
      <c r="C53" s="1" t="s">
        <v>66</v>
      </c>
      <c r="D53" s="1">
        <v>2023</v>
      </c>
      <c r="E53" s="1">
        <v>0.924</v>
      </c>
      <c r="F53" s="1">
        <v>2023</v>
      </c>
      <c r="G53" s="1">
        <v>0.368423</v>
      </c>
      <c r="H53" s="1">
        <v>2023</v>
      </c>
      <c r="I53" s="1">
        <v>0.111</v>
      </c>
      <c r="J53" s="1">
        <v>2023</v>
      </c>
      <c r="K53" s="1">
        <v>83.2989</v>
      </c>
      <c r="L53" s="1">
        <v>2022</v>
      </c>
      <c r="M53" s="1">
        <v>0.674093783</v>
      </c>
      <c r="N53" s="1">
        <v>2025</v>
      </c>
      <c r="O53" s="1">
        <v>49</v>
      </c>
      <c r="P53" s="1" t="s">
        <v>93</v>
      </c>
      <c r="Q53" s="1">
        <v>0.031</v>
      </c>
      <c r="R53" s="1">
        <v>0.056</v>
      </c>
      <c r="S53" s="1">
        <v>86.2</v>
      </c>
      <c r="T53" s="1">
        <v>2023</v>
      </c>
      <c r="U53" s="1">
        <v>0.924</v>
      </c>
      <c r="V53" s="1">
        <v>2023</v>
      </c>
      <c r="W53" s="1">
        <v>0.419961</v>
      </c>
      <c r="X53" s="1">
        <v>2023</v>
      </c>
      <c r="Y53" s="1">
        <v>0.111</v>
      </c>
      <c r="Z53" s="1">
        <v>2023</v>
      </c>
      <c r="AA53" s="1">
        <v>83.2989</v>
      </c>
      <c r="AB53" s="1">
        <v>49</v>
      </c>
      <c r="AC53" s="1">
        <v>60</v>
      </c>
      <c r="AD53" s="1">
        <v>55</v>
      </c>
      <c r="AE53" s="1">
        <v>47.3</v>
      </c>
      <c r="AF53" s="1">
        <v>80.7</v>
      </c>
      <c r="AG53" s="1">
        <v>70</v>
      </c>
      <c r="AH53" s="1">
        <v>79.6</v>
      </c>
      <c r="AI53" s="1">
        <v>60</v>
      </c>
      <c r="AJ53" s="1">
        <v>50</v>
      </c>
      <c r="AK53" s="1">
        <v>1717.05714285714</v>
      </c>
      <c r="AL53" s="1">
        <v>43.696875</v>
      </c>
      <c r="AM53" s="1">
        <v>3.54</v>
      </c>
      <c r="AN53" s="1">
        <v>4.24</v>
      </c>
      <c r="AO53" s="1">
        <v>4.53</v>
      </c>
      <c r="AP53" s="1">
        <v>3.06</v>
      </c>
      <c r="AQ53" s="1">
        <v>2.68</v>
      </c>
      <c r="AR53" s="1">
        <v>2.78</v>
      </c>
      <c r="AS53" s="1">
        <v>3.82</v>
      </c>
      <c r="AT53" s="1">
        <v>4200000000</v>
      </c>
      <c r="AU53" s="1">
        <v>0.473</v>
      </c>
      <c r="AV53" s="1">
        <v>37500000000</v>
      </c>
      <c r="AW53" s="1">
        <v>17737500000</v>
      </c>
      <c r="AX53" s="1">
        <v>500000</v>
      </c>
      <c r="BE53" s="9">
        <v>0.0109553917091136</v>
      </c>
      <c r="BF53" s="9">
        <f t="shared" si="1"/>
        <v>0.578452924960274</v>
      </c>
    </row>
    <row r="54" ht="15.75" customHeight="1" spans="1:58">
      <c r="A54" s="1" t="s">
        <v>165</v>
      </c>
      <c r="B54" s="1" t="s">
        <v>65</v>
      </c>
      <c r="C54" s="1" t="s">
        <v>66</v>
      </c>
      <c r="D54" s="1">
        <v>2023</v>
      </c>
      <c r="E54" s="1">
        <v>0.785</v>
      </c>
      <c r="F54" s="1">
        <v>2023</v>
      </c>
      <c r="G54" s="1">
        <v>0.432638</v>
      </c>
      <c r="H54" s="1">
        <v>2023</v>
      </c>
      <c r="I54" s="1">
        <v>0.146</v>
      </c>
      <c r="J54" s="1">
        <v>2023</v>
      </c>
      <c r="K54" s="1">
        <v>71.1985</v>
      </c>
      <c r="L54" s="1">
        <v>2022</v>
      </c>
      <c r="M54" s="1">
        <v>0.101790711</v>
      </c>
      <c r="N54" s="1">
        <v>2025</v>
      </c>
      <c r="O54" s="1">
        <v>42</v>
      </c>
      <c r="P54" s="1" t="s">
        <v>166</v>
      </c>
      <c r="Q54" s="1">
        <v>0.016</v>
      </c>
      <c r="R54" s="1">
        <v>0.134</v>
      </c>
      <c r="S54" s="1">
        <v>40.2</v>
      </c>
      <c r="T54" s="1">
        <v>2023</v>
      </c>
      <c r="U54" s="1">
        <v>0.785</v>
      </c>
      <c r="V54" s="1">
        <v>2023</v>
      </c>
      <c r="W54" s="1">
        <v>0.472865</v>
      </c>
      <c r="X54" s="1">
        <v>2023</v>
      </c>
      <c r="Y54" s="1">
        <v>0.146</v>
      </c>
      <c r="Z54" s="1">
        <v>2023</v>
      </c>
      <c r="AA54" s="1">
        <v>71.1985</v>
      </c>
      <c r="AB54" s="1">
        <v>42</v>
      </c>
      <c r="AC54" s="1">
        <v>80</v>
      </c>
      <c r="AD54" s="1">
        <v>108</v>
      </c>
      <c r="AE54" s="1">
        <v>35.3</v>
      </c>
      <c r="AF54" s="1">
        <v>66.2</v>
      </c>
      <c r="AG54" s="1">
        <v>92.8</v>
      </c>
      <c r="AH54" s="1">
        <v>77.2</v>
      </c>
      <c r="AI54" s="1">
        <v>55</v>
      </c>
      <c r="AJ54" s="1">
        <v>50</v>
      </c>
      <c r="AK54" s="1">
        <v>1717.05714285714</v>
      </c>
      <c r="AL54" s="1">
        <v>43.696875</v>
      </c>
      <c r="AM54" s="1">
        <v>2.2616</v>
      </c>
      <c r="AN54" s="1">
        <v>2.8232</v>
      </c>
      <c r="AO54" s="1">
        <v>2.538</v>
      </c>
      <c r="AP54" s="1">
        <v>2.2348</v>
      </c>
      <c r="AQ54" s="1">
        <v>1.734</v>
      </c>
      <c r="AR54" s="1">
        <v>1.4236</v>
      </c>
      <c r="AS54" s="1">
        <v>2.926</v>
      </c>
      <c r="AT54" s="1">
        <v>587000000</v>
      </c>
      <c r="AU54" s="1">
        <v>0.353</v>
      </c>
      <c r="AV54" s="1">
        <v>43200000000</v>
      </c>
      <c r="AW54" s="1">
        <v>15249600000</v>
      </c>
      <c r="AX54" s="1">
        <v>2500000</v>
      </c>
      <c r="BE54" s="9">
        <v>0.0841434946547197</v>
      </c>
      <c r="BF54" s="9">
        <f t="shared" si="1"/>
        <v>-0.76165877322468</v>
      </c>
    </row>
    <row r="55" ht="15.75" customHeight="1" spans="1:58">
      <c r="A55" s="1" t="s">
        <v>167</v>
      </c>
      <c r="B55" s="1" t="s">
        <v>99</v>
      </c>
      <c r="C55" s="1" t="s">
        <v>63</v>
      </c>
      <c r="D55" s="1">
        <v>2023</v>
      </c>
      <c r="E55" s="1">
        <v>0.747</v>
      </c>
      <c r="F55" s="1">
        <v>2023</v>
      </c>
      <c r="G55" s="1">
        <v>0.519071</v>
      </c>
      <c r="H55" s="1">
        <v>2023</v>
      </c>
      <c r="I55" s="1">
        <v>0.284</v>
      </c>
      <c r="J55" s="1">
        <v>2023</v>
      </c>
      <c r="K55" s="1">
        <v>71.7341</v>
      </c>
      <c r="L55" s="1">
        <v>2022</v>
      </c>
      <c r="M55" s="1">
        <v>-0.270890504</v>
      </c>
      <c r="N55" s="1">
        <v>2025</v>
      </c>
      <c r="O55" s="1">
        <v>31</v>
      </c>
      <c r="P55" s="1" t="s">
        <v>90</v>
      </c>
      <c r="Q55" s="1">
        <v>0.061</v>
      </c>
      <c r="R55" s="1">
        <v>0.103</v>
      </c>
      <c r="S55" s="1">
        <v>49.7</v>
      </c>
      <c r="T55" s="1">
        <v>2023</v>
      </c>
      <c r="U55" s="1">
        <v>0.747</v>
      </c>
      <c r="V55" s="1">
        <v>2023</v>
      </c>
      <c r="W55" s="1">
        <v>0.531951</v>
      </c>
      <c r="X55" s="1">
        <v>2023</v>
      </c>
      <c r="Y55" s="1">
        <v>0.284</v>
      </c>
      <c r="Z55" s="1">
        <v>2023</v>
      </c>
      <c r="AA55" s="1">
        <v>71.7341</v>
      </c>
      <c r="AB55" s="1">
        <v>31</v>
      </c>
      <c r="AC55" s="1">
        <v>124</v>
      </c>
      <c r="AD55" s="1">
        <v>52</v>
      </c>
      <c r="AE55" s="1">
        <v>46.8</v>
      </c>
      <c r="AF55" s="1">
        <v>67.9</v>
      </c>
      <c r="AG55" s="1">
        <v>85.7</v>
      </c>
      <c r="AH55" s="1">
        <v>74.4</v>
      </c>
      <c r="AI55" s="1">
        <v>50</v>
      </c>
      <c r="AJ55" s="1">
        <v>50</v>
      </c>
      <c r="AK55" s="1">
        <v>2002</v>
      </c>
      <c r="AL55" s="1">
        <v>16.5413793103448</v>
      </c>
      <c r="AM55" s="1">
        <v>3.23421052631579</v>
      </c>
      <c r="AN55" s="1">
        <v>3.68526315789474</v>
      </c>
      <c r="AO55" s="1">
        <v>3.41421052631579</v>
      </c>
      <c r="AP55" s="1">
        <v>2.82368421052632</v>
      </c>
      <c r="AQ55" s="1">
        <v>2.72947368421053</v>
      </c>
      <c r="AR55" s="1">
        <v>2.78368421052632</v>
      </c>
      <c r="AS55" s="1">
        <v>3.93555555555556</v>
      </c>
      <c r="AT55" s="1">
        <v>2500000000</v>
      </c>
      <c r="AU55" s="1">
        <v>0.468</v>
      </c>
      <c r="AV55" s="1">
        <v>62700000000</v>
      </c>
      <c r="AW55" s="1">
        <v>29343600000</v>
      </c>
      <c r="AX55" s="1">
        <v>3500000</v>
      </c>
      <c r="BE55" s="9">
        <v>0.058276597563757</v>
      </c>
      <c r="BF55" s="9">
        <f t="shared" si="1"/>
        <v>-0.28802262209902</v>
      </c>
    </row>
    <row r="56" ht="15.75" customHeight="1" spans="1:58">
      <c r="A56" s="1" t="s">
        <v>168</v>
      </c>
      <c r="B56" s="1" t="s">
        <v>65</v>
      </c>
      <c r="C56" s="1" t="s">
        <v>66</v>
      </c>
      <c r="D56" s="1">
        <v>2023</v>
      </c>
      <c r="E56" s="1">
        <v>0.862</v>
      </c>
      <c r="F56" s="1">
        <v>2023</v>
      </c>
      <c r="G56" s="1">
        <v>0.462977</v>
      </c>
      <c r="H56" s="1">
        <v>2023</v>
      </c>
      <c r="I56" s="1">
        <v>0.121</v>
      </c>
      <c r="J56" s="1">
        <v>2023</v>
      </c>
      <c r="K56" s="1">
        <v>77.0869</v>
      </c>
      <c r="L56" s="1">
        <v>2022</v>
      </c>
      <c r="M56" s="1">
        <v>0.543230414</v>
      </c>
      <c r="N56" s="1">
        <v>2025</v>
      </c>
      <c r="O56" s="1">
        <v>46</v>
      </c>
      <c r="P56" s="1" t="s">
        <v>169</v>
      </c>
      <c r="Q56" s="1">
        <v>0.153</v>
      </c>
      <c r="R56" s="1">
        <v>0.086</v>
      </c>
      <c r="S56" s="1">
        <v>58.8</v>
      </c>
      <c r="T56" s="1">
        <v>2023</v>
      </c>
      <c r="U56" s="1">
        <v>0.862</v>
      </c>
      <c r="V56" s="1">
        <v>2023</v>
      </c>
      <c r="W56" s="1">
        <v>0.504134</v>
      </c>
      <c r="X56" s="1">
        <v>2023</v>
      </c>
      <c r="Y56" s="1">
        <v>0.121</v>
      </c>
      <c r="Z56" s="1">
        <v>2023</v>
      </c>
      <c r="AA56" s="1">
        <v>77.0869</v>
      </c>
      <c r="AB56" s="1">
        <v>46</v>
      </c>
      <c r="AC56" s="1">
        <v>65</v>
      </c>
      <c r="AD56" s="1">
        <v>80</v>
      </c>
      <c r="AE56" s="1">
        <v>61.5</v>
      </c>
      <c r="AF56" s="1">
        <v>70.9</v>
      </c>
      <c r="AG56" s="1">
        <v>88.7</v>
      </c>
      <c r="AH56" s="1">
        <v>79.6</v>
      </c>
      <c r="AI56" s="1">
        <v>50</v>
      </c>
      <c r="AJ56" s="1">
        <v>50</v>
      </c>
      <c r="AK56" s="1">
        <v>2001</v>
      </c>
      <c r="AL56" s="1">
        <v>43.696875</v>
      </c>
      <c r="AM56" s="1">
        <v>2.2616</v>
      </c>
      <c r="AN56" s="1">
        <v>2.8232</v>
      </c>
      <c r="AO56" s="1">
        <v>2.538</v>
      </c>
      <c r="AP56" s="1">
        <v>2.2348</v>
      </c>
      <c r="AQ56" s="1">
        <v>1.734</v>
      </c>
      <c r="AR56" s="1">
        <v>1.4236</v>
      </c>
      <c r="AS56" s="1">
        <v>2.926</v>
      </c>
      <c r="AT56" s="1">
        <v>877000000</v>
      </c>
      <c r="AU56" s="1">
        <v>0.615</v>
      </c>
      <c r="AV56" s="1">
        <v>19000000000</v>
      </c>
      <c r="AW56" s="1">
        <v>11685000000</v>
      </c>
      <c r="AX56" s="1">
        <v>600000</v>
      </c>
      <c r="BE56" s="9">
        <v>0.058276597563757</v>
      </c>
      <c r="BF56" s="9">
        <f t="shared" si="1"/>
        <v>-0.28802262209902</v>
      </c>
    </row>
    <row r="57" ht="15.75" customHeight="1" spans="1:58">
      <c r="A57" s="1" t="s">
        <v>170</v>
      </c>
      <c r="B57" s="1" t="s">
        <v>92</v>
      </c>
      <c r="C57" s="1" t="s">
        <v>63</v>
      </c>
      <c r="D57" s="1">
        <v>2023</v>
      </c>
      <c r="E57" s="1">
        <v>0.609</v>
      </c>
      <c r="F57" s="1">
        <v>2023</v>
      </c>
      <c r="G57" s="1">
        <v>0.536025</v>
      </c>
      <c r="H57" s="1">
        <v>2023</v>
      </c>
      <c r="I57" s="1">
        <v>0.478</v>
      </c>
      <c r="J57" s="1">
        <v>2023</v>
      </c>
      <c r="K57" s="1">
        <v>66.889</v>
      </c>
      <c r="L57" s="1">
        <v>2022</v>
      </c>
      <c r="M57" s="1">
        <v>-1.235084057</v>
      </c>
      <c r="N57" s="1">
        <v>2025</v>
      </c>
      <c r="O57" s="1">
        <v>16</v>
      </c>
      <c r="P57" s="1">
        <v>54179000</v>
      </c>
      <c r="Q57" s="1">
        <v>0.0557</v>
      </c>
      <c r="R57" s="1">
        <v>0.133609756097561</v>
      </c>
      <c r="S57" s="1">
        <v>47.9619047619048</v>
      </c>
      <c r="T57" s="1">
        <v>2023</v>
      </c>
      <c r="U57" s="1">
        <v>0.609</v>
      </c>
      <c r="V57" s="1">
        <v>2023</v>
      </c>
      <c r="W57" s="1">
        <v>0.521047</v>
      </c>
      <c r="X57" s="1">
        <v>2023</v>
      </c>
      <c r="Y57" s="1">
        <v>0.478</v>
      </c>
      <c r="Z57" s="1">
        <v>2023</v>
      </c>
      <c r="AA57" s="1">
        <v>66.889</v>
      </c>
      <c r="AB57" s="1">
        <v>16</v>
      </c>
      <c r="AC57" s="1">
        <v>169</v>
      </c>
      <c r="AD57" s="1">
        <v>109</v>
      </c>
      <c r="AE57" s="1">
        <v>65.5275</v>
      </c>
      <c r="AF57" s="1">
        <v>66.3184210526316</v>
      </c>
      <c r="AG57" s="1">
        <v>85.1289473684211</v>
      </c>
      <c r="AH57" s="1">
        <v>74.0157894736842</v>
      </c>
      <c r="AI57" s="1">
        <v>50.2631578947368</v>
      </c>
      <c r="AJ57" s="1">
        <v>97.8974358974359</v>
      </c>
      <c r="AK57" s="1">
        <v>2000.75</v>
      </c>
      <c r="AL57" s="1">
        <v>0.8</v>
      </c>
      <c r="AM57" s="1">
        <v>3.23421052631579</v>
      </c>
      <c r="AN57" s="1">
        <v>3.68526315789474</v>
      </c>
      <c r="AO57" s="1">
        <v>3.41421052631579</v>
      </c>
      <c r="AP57" s="1">
        <v>2.82368421052632</v>
      </c>
      <c r="AQ57" s="1">
        <v>2.72947368421053</v>
      </c>
      <c r="AR57" s="1">
        <v>2.78368421052632</v>
      </c>
      <c r="AS57" s="1">
        <v>3.93555555555556</v>
      </c>
      <c r="AT57" s="1">
        <v>15892717948.718</v>
      </c>
      <c r="AU57" s="1">
        <v>0.655275</v>
      </c>
      <c r="AV57" s="1">
        <v>162341463416.554</v>
      </c>
      <c r="AW57" s="1">
        <v>106378302440.282</v>
      </c>
      <c r="AX57" s="1">
        <v>54179000</v>
      </c>
      <c r="BE57" s="9">
        <v>0.155353540763958</v>
      </c>
      <c r="BF57" s="9">
        <f t="shared" si="1"/>
        <v>-2.06555123632356</v>
      </c>
    </row>
    <row r="58" ht="15.75" customHeight="1" spans="1:58">
      <c r="A58" s="1" t="s">
        <v>171</v>
      </c>
      <c r="B58" s="1" t="s">
        <v>62</v>
      </c>
      <c r="C58" s="1" t="s">
        <v>63</v>
      </c>
      <c r="D58" s="1">
        <v>2023</v>
      </c>
      <c r="E58" s="1">
        <v>0.622</v>
      </c>
      <c r="F58" s="1">
        <v>2023</v>
      </c>
      <c r="G58" s="1">
        <v>0.483862</v>
      </c>
      <c r="H58" s="1">
        <v>2023</v>
      </c>
      <c r="I58" s="1">
        <v>0.487</v>
      </c>
      <c r="J58" s="1">
        <v>2023</v>
      </c>
      <c r="K58" s="1">
        <v>70.3537</v>
      </c>
      <c r="L58" s="1">
        <v>2022</v>
      </c>
      <c r="M58" s="1">
        <v>-0.650234938</v>
      </c>
      <c r="N58" s="1">
        <v>2025</v>
      </c>
      <c r="O58" s="1">
        <v>34</v>
      </c>
      <c r="P58" s="1" t="s">
        <v>172</v>
      </c>
      <c r="Q58" s="1">
        <v>0.107</v>
      </c>
      <c r="R58" s="1">
        <v>0.078</v>
      </c>
      <c r="S58" s="1">
        <v>38.3</v>
      </c>
      <c r="T58" s="1">
        <v>2023</v>
      </c>
      <c r="U58" s="1">
        <v>0.622</v>
      </c>
      <c r="V58" s="1">
        <v>2023</v>
      </c>
      <c r="W58" s="1">
        <v>0.502134</v>
      </c>
      <c r="X58" s="1">
        <v>2023</v>
      </c>
      <c r="Y58" s="1">
        <v>0.487</v>
      </c>
      <c r="Z58" s="1">
        <v>2023</v>
      </c>
      <c r="AA58" s="1">
        <v>70.3537</v>
      </c>
      <c r="AB58" s="1">
        <v>34</v>
      </c>
      <c r="AC58" s="1">
        <v>109</v>
      </c>
      <c r="AD58" s="1">
        <v>56</v>
      </c>
      <c r="AE58" s="1">
        <v>47.1</v>
      </c>
      <c r="AF58" s="1">
        <v>64.7</v>
      </c>
      <c r="AG58" s="1">
        <v>83.6</v>
      </c>
      <c r="AH58" s="1">
        <v>58.4</v>
      </c>
      <c r="AI58" s="1">
        <v>10</v>
      </c>
      <c r="AJ58" s="1">
        <v>30</v>
      </c>
      <c r="AK58" s="1">
        <v>1995</v>
      </c>
      <c r="AL58" s="1">
        <v>16.5413793103448</v>
      </c>
      <c r="AM58" s="1">
        <v>3.23421052631579</v>
      </c>
      <c r="AN58" s="1">
        <v>3.68526315789474</v>
      </c>
      <c r="AO58" s="1">
        <v>3.41421052631579</v>
      </c>
      <c r="AP58" s="1">
        <v>2.82368421052632</v>
      </c>
      <c r="AQ58" s="1">
        <v>2.72947368421053</v>
      </c>
      <c r="AR58" s="1">
        <v>2.78368421052632</v>
      </c>
      <c r="AS58" s="1">
        <v>3.93555555555556</v>
      </c>
      <c r="AT58" s="1">
        <v>65000000</v>
      </c>
      <c r="AU58" s="1">
        <v>0.471</v>
      </c>
      <c r="AV58" s="1">
        <v>160200000000</v>
      </c>
      <c r="AW58" s="1">
        <v>75454200000</v>
      </c>
      <c r="AX58" s="1">
        <v>31100000</v>
      </c>
      <c r="BE58" s="9">
        <v>0.0465604147637328</v>
      </c>
      <c r="BF58" s="9">
        <f t="shared" si="1"/>
        <v>-0.073493306589163</v>
      </c>
    </row>
    <row r="59" ht="15.75" customHeight="1" spans="1:58">
      <c r="A59" s="7" t="s">
        <v>173</v>
      </c>
      <c r="B59" s="1" t="s">
        <v>74</v>
      </c>
      <c r="C59" s="1" t="s">
        <v>66</v>
      </c>
      <c r="D59" s="1">
        <v>2023</v>
      </c>
      <c r="E59" s="1">
        <v>0.955</v>
      </c>
      <c r="F59" s="1">
        <v>2023</v>
      </c>
      <c r="G59" s="1">
        <v>0.259838</v>
      </c>
      <c r="H59" s="1">
        <v>2023</v>
      </c>
      <c r="I59" s="1">
        <v>0.013</v>
      </c>
      <c r="J59" s="1">
        <v>2023</v>
      </c>
      <c r="K59" s="1">
        <v>82.1576</v>
      </c>
      <c r="L59" s="1">
        <v>2022</v>
      </c>
      <c r="M59" s="1">
        <v>1.712272048</v>
      </c>
      <c r="N59" s="1">
        <v>2025</v>
      </c>
      <c r="O59" s="1">
        <v>78</v>
      </c>
      <c r="P59" s="1" t="s">
        <v>174</v>
      </c>
      <c r="Q59" s="1">
        <v>0.036</v>
      </c>
      <c r="R59" s="1">
        <v>0.041</v>
      </c>
      <c r="S59" s="1">
        <v>95.9</v>
      </c>
      <c r="T59" s="1">
        <v>2023</v>
      </c>
      <c r="U59" s="1">
        <v>0.955</v>
      </c>
      <c r="V59" s="1">
        <v>2023</v>
      </c>
      <c r="W59" s="1">
        <v>0.388845</v>
      </c>
      <c r="X59" s="1">
        <v>2023</v>
      </c>
      <c r="Y59" s="1">
        <v>0.013</v>
      </c>
      <c r="Z59" s="1">
        <v>2023</v>
      </c>
      <c r="AA59" s="1">
        <v>82.1576</v>
      </c>
      <c r="AB59" s="1">
        <v>78</v>
      </c>
      <c r="AC59" s="1">
        <v>8</v>
      </c>
      <c r="AD59" s="1">
        <v>6</v>
      </c>
      <c r="AE59" s="1">
        <v>45</v>
      </c>
      <c r="AF59" s="1">
        <v>84.8</v>
      </c>
      <c r="AG59" s="1">
        <v>54</v>
      </c>
      <c r="AH59" s="1">
        <v>79.6</v>
      </c>
      <c r="AI59" s="1">
        <v>90</v>
      </c>
      <c r="AJ59" s="1">
        <v>80</v>
      </c>
      <c r="AK59" s="1">
        <v>1717.05714285714</v>
      </c>
      <c r="AL59" s="1">
        <v>80.7</v>
      </c>
      <c r="AM59" s="1">
        <v>1.49</v>
      </c>
      <c r="AN59" s="1">
        <v>1.55</v>
      </c>
      <c r="AO59" s="1">
        <v>1.72</v>
      </c>
      <c r="AP59" s="1">
        <v>1.23</v>
      </c>
      <c r="AQ59" s="1">
        <v>1.27</v>
      </c>
      <c r="AR59" s="1">
        <v>1.03</v>
      </c>
      <c r="AS59" s="1">
        <v>2.41</v>
      </c>
      <c r="AT59" s="1">
        <v>67300000000</v>
      </c>
      <c r="AU59" s="1">
        <v>0.45</v>
      </c>
      <c r="AV59" s="1">
        <v>1.4</v>
      </c>
      <c r="AW59" s="1">
        <v>0.63</v>
      </c>
      <c r="AX59" s="1">
        <v>17800000</v>
      </c>
      <c r="AY59" s="1">
        <v>0.0765006090909091</v>
      </c>
      <c r="AZ59" s="1">
        <v>0.0913932</v>
      </c>
      <c r="BA59" s="1">
        <v>0.0559641605490913</v>
      </c>
      <c r="BB59" s="1">
        <v>-0.0487058</v>
      </c>
      <c r="BC59" s="1">
        <v>0.0422704363636364</v>
      </c>
      <c r="BD59" s="1">
        <v>0.0386955</v>
      </c>
      <c r="BE59" s="9">
        <v>0</v>
      </c>
      <c r="BF59" s="9">
        <f t="shared" si="1"/>
        <v>0.779051765437024</v>
      </c>
    </row>
    <row r="60" ht="15.75" customHeight="1" spans="1:58">
      <c r="A60" s="7" t="s">
        <v>175</v>
      </c>
      <c r="B60" s="1" t="s">
        <v>107</v>
      </c>
      <c r="C60" s="1" t="s">
        <v>66</v>
      </c>
      <c r="D60" s="1">
        <v>2023</v>
      </c>
      <c r="E60" s="1">
        <v>0.97</v>
      </c>
      <c r="F60" s="1">
        <v>2023</v>
      </c>
      <c r="G60" s="1">
        <v>0.296036</v>
      </c>
      <c r="H60" s="1">
        <v>2023</v>
      </c>
      <c r="I60" s="1">
        <v>0.004</v>
      </c>
      <c r="J60" s="1">
        <v>2023</v>
      </c>
      <c r="K60" s="1">
        <v>83.3078</v>
      </c>
      <c r="L60" s="1">
        <v>2022</v>
      </c>
      <c r="M60" s="1">
        <v>1.516139507</v>
      </c>
      <c r="N60" s="1">
        <v>2025</v>
      </c>
      <c r="O60" s="1">
        <v>81</v>
      </c>
      <c r="P60" s="1" t="s">
        <v>176</v>
      </c>
      <c r="Q60" s="1">
        <v>0.036</v>
      </c>
      <c r="R60" s="1">
        <v>0.055</v>
      </c>
      <c r="S60" s="1">
        <v>97.7</v>
      </c>
      <c r="T60" s="1">
        <v>2023</v>
      </c>
      <c r="U60" s="1">
        <v>0.97</v>
      </c>
      <c r="V60" s="1">
        <v>2023</v>
      </c>
      <c r="W60" s="1">
        <v>0.405255</v>
      </c>
      <c r="X60" s="1">
        <v>2023</v>
      </c>
      <c r="Y60" s="1">
        <v>0.004</v>
      </c>
      <c r="Z60" s="1">
        <v>2023</v>
      </c>
      <c r="AA60" s="1">
        <v>83.3078</v>
      </c>
      <c r="AB60" s="1">
        <v>81</v>
      </c>
      <c r="AC60" s="1">
        <v>4</v>
      </c>
      <c r="AD60" s="1">
        <v>9</v>
      </c>
      <c r="AE60" s="1">
        <v>44</v>
      </c>
      <c r="AF60" s="1">
        <v>86.7</v>
      </c>
      <c r="AG60" s="1">
        <v>62.4</v>
      </c>
      <c r="AH60" s="1">
        <v>85</v>
      </c>
      <c r="AI60" s="1">
        <v>75</v>
      </c>
      <c r="AJ60" s="1">
        <v>60</v>
      </c>
      <c r="AK60" s="1">
        <v>1717.05714285714</v>
      </c>
      <c r="AL60" s="1">
        <v>93.6</v>
      </c>
      <c r="AM60" s="1">
        <v>2.24</v>
      </c>
      <c r="AN60" s="1">
        <v>2.65</v>
      </c>
      <c r="AO60" s="1">
        <v>2.62</v>
      </c>
      <c r="AP60" s="1">
        <v>2.01</v>
      </c>
      <c r="AQ60" s="1">
        <v>1.9</v>
      </c>
      <c r="AR60" s="1">
        <v>1.45</v>
      </c>
      <c r="AS60" s="1">
        <v>2.82</v>
      </c>
      <c r="AT60" s="1">
        <v>3400000000</v>
      </c>
      <c r="AU60" s="1">
        <v>0.44</v>
      </c>
      <c r="AV60" s="1">
        <v>554200000000</v>
      </c>
      <c r="AW60" s="1">
        <v>243848000000</v>
      </c>
      <c r="AX60" s="1">
        <v>5500000</v>
      </c>
      <c r="AY60" s="1">
        <v>0.0757595636363636</v>
      </c>
      <c r="AZ60" s="1">
        <v>0.0453138</v>
      </c>
      <c r="BA60" s="1">
        <v>0.0557432432194786</v>
      </c>
      <c r="BB60" s="1">
        <v>-0.0574527</v>
      </c>
      <c r="BC60" s="1">
        <v>0.0465330545454545</v>
      </c>
      <c r="BD60" s="1">
        <v>0.0503611</v>
      </c>
      <c r="BE60" s="9">
        <v>0</v>
      </c>
      <c r="BF60" s="9">
        <f t="shared" si="1"/>
        <v>0.779051765437024</v>
      </c>
    </row>
    <row r="61" ht="15.75" customHeight="1" spans="1:58">
      <c r="A61" s="1" t="s">
        <v>177</v>
      </c>
      <c r="B61" s="1" t="s">
        <v>79</v>
      </c>
      <c r="C61" s="1" t="s">
        <v>63</v>
      </c>
      <c r="D61" s="1">
        <v>2023</v>
      </c>
      <c r="E61" s="1">
        <v>0.858</v>
      </c>
      <c r="F61" s="1">
        <v>2023</v>
      </c>
      <c r="G61" s="1">
        <v>0.652936</v>
      </c>
      <c r="H61" s="1">
        <v>2023</v>
      </c>
      <c r="I61" s="1">
        <v>0.222</v>
      </c>
      <c r="J61" s="1">
        <v>2023</v>
      </c>
      <c r="K61" s="1">
        <v>80.0305</v>
      </c>
      <c r="L61" s="1">
        <v>2022</v>
      </c>
      <c r="M61" s="1">
        <v>0.432644993</v>
      </c>
      <c r="N61" s="1">
        <v>2025</v>
      </c>
      <c r="O61" s="1">
        <v>52</v>
      </c>
      <c r="P61" s="1" t="s">
        <v>178</v>
      </c>
      <c r="Q61" s="1">
        <v>0.015</v>
      </c>
      <c r="R61" s="1">
        <v>0.009</v>
      </c>
      <c r="S61" s="1">
        <v>74.5</v>
      </c>
      <c r="T61" s="1">
        <v>2023</v>
      </c>
      <c r="U61" s="1">
        <v>0.858</v>
      </c>
      <c r="V61" s="1">
        <v>2023</v>
      </c>
      <c r="W61" s="1">
        <v>0.667444</v>
      </c>
      <c r="X61" s="1">
        <v>2023</v>
      </c>
      <c r="Y61" s="1">
        <v>0.222</v>
      </c>
      <c r="Z61" s="1">
        <v>2023</v>
      </c>
      <c r="AA61" s="1">
        <v>80.0305</v>
      </c>
      <c r="AB61" s="1">
        <v>52</v>
      </c>
      <c r="AC61" s="1">
        <v>54</v>
      </c>
      <c r="AD61" s="1">
        <v>58</v>
      </c>
      <c r="AE61" s="1">
        <v>36.5</v>
      </c>
      <c r="AF61" s="1">
        <v>68.1</v>
      </c>
      <c r="AG61" s="1">
        <v>97.6</v>
      </c>
      <c r="AH61" s="1">
        <v>78.2</v>
      </c>
      <c r="AI61" s="1">
        <v>70</v>
      </c>
      <c r="AJ61" s="1">
        <v>60</v>
      </c>
      <c r="AK61" s="1">
        <v>2000.75</v>
      </c>
      <c r="AL61" s="1">
        <v>5.2</v>
      </c>
      <c r="AM61" s="1">
        <v>4.14</v>
      </c>
      <c r="AN61" s="1">
        <v>4.62</v>
      </c>
      <c r="AO61" s="1">
        <v>4.95</v>
      </c>
      <c r="AP61" s="1">
        <v>5</v>
      </c>
      <c r="AQ61" s="1">
        <v>3.17</v>
      </c>
      <c r="AR61" s="1">
        <v>3.23</v>
      </c>
      <c r="AS61" s="1">
        <v>4.32</v>
      </c>
      <c r="AT61" s="1">
        <v>3700000000</v>
      </c>
      <c r="AU61" s="1">
        <v>0.365</v>
      </c>
      <c r="AV61" s="1">
        <v>214700000000</v>
      </c>
      <c r="AW61" s="1">
        <v>78365500000</v>
      </c>
      <c r="AX61" s="1">
        <v>5200000</v>
      </c>
      <c r="BE61" s="9">
        <v>0.0284535868000589</v>
      </c>
      <c r="BF61" s="9">
        <f t="shared" si="1"/>
        <v>0.258051999198799</v>
      </c>
    </row>
    <row r="62" ht="15.75" customHeight="1" spans="1:58">
      <c r="A62" s="1" t="s">
        <v>179</v>
      </c>
      <c r="B62" s="1" t="s">
        <v>62</v>
      </c>
      <c r="C62" s="1" t="s">
        <v>63</v>
      </c>
      <c r="D62" s="1">
        <v>2023</v>
      </c>
      <c r="E62" s="1">
        <v>0.544</v>
      </c>
      <c r="F62" s="1">
        <v>2023</v>
      </c>
      <c r="G62" s="1">
        <v>0.511869</v>
      </c>
      <c r="H62" s="1">
        <v>2023</v>
      </c>
      <c r="I62" s="1">
        <v>0.536</v>
      </c>
      <c r="J62" s="1">
        <v>2023</v>
      </c>
      <c r="K62" s="1">
        <v>67.649</v>
      </c>
      <c r="L62" s="1">
        <v>2022</v>
      </c>
      <c r="M62" s="1">
        <v>-0.886412621</v>
      </c>
      <c r="N62" s="1">
        <v>2025</v>
      </c>
      <c r="O62" s="1">
        <v>28</v>
      </c>
      <c r="P62" s="1" t="s">
        <v>180</v>
      </c>
      <c r="Q62" s="1">
        <v>0.055</v>
      </c>
      <c r="R62" s="1">
        <v>0.292</v>
      </c>
      <c r="S62" s="1">
        <v>29.2</v>
      </c>
      <c r="T62" s="1">
        <v>2023</v>
      </c>
      <c r="U62" s="1">
        <v>0.544</v>
      </c>
      <c r="V62" s="1">
        <v>2023</v>
      </c>
      <c r="W62" s="1">
        <v>0.512099</v>
      </c>
      <c r="X62" s="1">
        <v>2023</v>
      </c>
      <c r="Y62" s="1">
        <v>0.536</v>
      </c>
      <c r="Z62" s="1">
        <v>2023</v>
      </c>
      <c r="AA62" s="1">
        <v>67.649</v>
      </c>
      <c r="AB62" s="1">
        <v>28</v>
      </c>
      <c r="AC62" s="1">
        <v>136</v>
      </c>
      <c r="AD62" s="1">
        <v>136</v>
      </c>
      <c r="AE62" s="1">
        <v>77.3</v>
      </c>
      <c r="AF62" s="1">
        <v>51.5</v>
      </c>
      <c r="AG62" s="1">
        <v>78.3</v>
      </c>
      <c r="AH62" s="1">
        <v>69.8</v>
      </c>
      <c r="AI62" s="1">
        <v>60</v>
      </c>
      <c r="AJ62" s="1">
        <v>40</v>
      </c>
      <c r="AK62" s="1">
        <v>2001</v>
      </c>
      <c r="AL62" s="1">
        <v>16.5413793103448</v>
      </c>
      <c r="AM62" s="1">
        <v>3.87</v>
      </c>
      <c r="AN62" s="1">
        <v>4.37</v>
      </c>
      <c r="AO62" s="1">
        <v>4.08</v>
      </c>
      <c r="AP62" s="1">
        <v>3.42</v>
      </c>
      <c r="AQ62" s="1">
        <v>3.43</v>
      </c>
      <c r="AR62" s="1">
        <v>3.55</v>
      </c>
      <c r="AS62" s="1">
        <v>4.23</v>
      </c>
      <c r="AT62" s="1">
        <v>1300000000</v>
      </c>
      <c r="AU62" s="1">
        <v>0.773</v>
      </c>
      <c r="AV62" s="1">
        <v>1.5</v>
      </c>
      <c r="AW62" s="1">
        <v>1.1595</v>
      </c>
      <c r="AX62" s="1">
        <v>231400000</v>
      </c>
      <c r="BE62" s="9">
        <v>0.097076943200201</v>
      </c>
      <c r="BF62" s="9">
        <f t="shared" si="1"/>
        <v>-0.99847684878751</v>
      </c>
    </row>
    <row r="63" ht="15.75" customHeight="1" spans="1:58">
      <c r="A63" s="1" t="s">
        <v>181</v>
      </c>
      <c r="B63" s="1" t="s">
        <v>79</v>
      </c>
      <c r="C63" s="1" t="s">
        <v>63</v>
      </c>
      <c r="D63" s="1">
        <v>2023</v>
      </c>
      <c r="E63" s="1">
        <v>0.674</v>
      </c>
      <c r="F63" s="1">
        <v>2023</v>
      </c>
      <c r="G63" s="1">
        <v>0.581907</v>
      </c>
      <c r="H63" s="1">
        <v>2023</v>
      </c>
      <c r="I63" s="1">
        <v>0.319181818181818</v>
      </c>
      <c r="J63" s="1">
        <v>2023</v>
      </c>
      <c r="K63" s="1">
        <v>65.1703</v>
      </c>
      <c r="L63" s="1">
        <v>2022</v>
      </c>
      <c r="M63" s="1">
        <v>-0.0946318026285714</v>
      </c>
      <c r="N63" s="1">
        <v>2025</v>
      </c>
      <c r="O63" s="1">
        <v>39.2325581395349</v>
      </c>
      <c r="P63" s="1">
        <v>5483000</v>
      </c>
      <c r="Q63" s="1">
        <v>0.0557</v>
      </c>
      <c r="R63" s="1">
        <v>0.133609756097561</v>
      </c>
      <c r="S63" s="1">
        <v>47.9619047619048</v>
      </c>
      <c r="T63" s="1">
        <v>2023</v>
      </c>
      <c r="U63" s="1">
        <v>0.674</v>
      </c>
      <c r="V63" s="1">
        <v>2023</v>
      </c>
      <c r="W63" s="1">
        <v>0.599405</v>
      </c>
      <c r="X63" s="1">
        <v>2023</v>
      </c>
      <c r="Y63" s="1">
        <v>0.319181818181818</v>
      </c>
      <c r="Z63" s="1">
        <v>2023</v>
      </c>
      <c r="AA63" s="1">
        <v>65.1703</v>
      </c>
      <c r="AB63" s="1">
        <v>39.2325581395349</v>
      </c>
      <c r="AC63" s="1">
        <v>99.046511627907</v>
      </c>
      <c r="AD63" s="1">
        <v>181</v>
      </c>
      <c r="AE63" s="1">
        <v>65.5275</v>
      </c>
      <c r="AF63" s="1">
        <v>66.3184210526316</v>
      </c>
      <c r="AG63" s="1">
        <v>85.1289473684211</v>
      </c>
      <c r="AH63" s="1">
        <v>74.0157894736842</v>
      </c>
      <c r="AI63" s="1">
        <v>50.2631578947368</v>
      </c>
      <c r="AJ63" s="1">
        <v>97.8974358974359</v>
      </c>
      <c r="AK63" s="1">
        <v>1997</v>
      </c>
      <c r="AL63" s="1">
        <v>16.5413793103448</v>
      </c>
      <c r="AM63" s="1">
        <v>3.23421052631579</v>
      </c>
      <c r="AN63" s="1">
        <v>3.68526315789474</v>
      </c>
      <c r="AO63" s="1">
        <v>3.41421052631579</v>
      </c>
      <c r="AP63" s="1">
        <v>2.82368421052632</v>
      </c>
      <c r="AQ63" s="1">
        <v>2.72947368421053</v>
      </c>
      <c r="AR63" s="1">
        <v>2.78368421052632</v>
      </c>
      <c r="AS63" s="1">
        <v>3.93555555555556</v>
      </c>
      <c r="AT63" s="1">
        <v>15892717948.718</v>
      </c>
      <c r="AU63" s="1">
        <v>0.655275</v>
      </c>
      <c r="AV63" s="1">
        <v>162341463416.554</v>
      </c>
      <c r="AW63" s="1">
        <v>106378302440.282</v>
      </c>
      <c r="AX63" s="1">
        <v>5483000</v>
      </c>
      <c r="BE63" s="9"/>
      <c r="BF63" s="9" t="str">
        <f t="shared" si="1"/>
        <v/>
      </c>
    </row>
    <row r="64" ht="15.75" customHeight="1" spans="1:58">
      <c r="A64" s="1" t="s">
        <v>182</v>
      </c>
      <c r="B64" s="1" t="s">
        <v>92</v>
      </c>
      <c r="C64" s="1" t="s">
        <v>63</v>
      </c>
      <c r="D64" s="1">
        <v>2023</v>
      </c>
      <c r="E64" s="1">
        <v>0.72</v>
      </c>
      <c r="F64" s="1">
        <v>2023</v>
      </c>
      <c r="G64" s="1">
        <v>0.537577</v>
      </c>
      <c r="H64" s="1">
        <v>2023</v>
      </c>
      <c r="I64" s="1">
        <v>0.351</v>
      </c>
      <c r="J64" s="1">
        <v>2023</v>
      </c>
      <c r="K64" s="1">
        <v>69.8327</v>
      </c>
      <c r="L64" s="1">
        <v>2022</v>
      </c>
      <c r="M64" s="1">
        <v>0.062785596</v>
      </c>
      <c r="N64" s="1">
        <v>2025</v>
      </c>
      <c r="O64" s="1">
        <v>32</v>
      </c>
      <c r="P64" s="1" t="s">
        <v>183</v>
      </c>
      <c r="Q64" s="1">
        <v>0.022</v>
      </c>
      <c r="R64" s="1">
        <v>0.06</v>
      </c>
      <c r="S64" s="1">
        <v>47.4</v>
      </c>
      <c r="T64" s="1">
        <v>2023</v>
      </c>
      <c r="U64" s="1">
        <v>0.72</v>
      </c>
      <c r="V64" s="1">
        <v>2023</v>
      </c>
      <c r="W64" s="1">
        <v>0.550983</v>
      </c>
      <c r="X64" s="1">
        <v>2023</v>
      </c>
      <c r="Y64" s="1">
        <v>0.351</v>
      </c>
      <c r="Z64" s="1">
        <v>2023</v>
      </c>
      <c r="AA64" s="1">
        <v>69.8327</v>
      </c>
      <c r="AB64" s="1">
        <v>32</v>
      </c>
      <c r="AC64" s="1">
        <v>120</v>
      </c>
      <c r="AD64" s="1">
        <v>71</v>
      </c>
      <c r="AE64" s="1">
        <v>56.5</v>
      </c>
      <c r="AF64" s="1">
        <v>69.1</v>
      </c>
      <c r="AG64" s="1">
        <v>79.1</v>
      </c>
      <c r="AH64" s="1">
        <v>79.2</v>
      </c>
      <c r="AI64" s="1">
        <v>60</v>
      </c>
      <c r="AJ64" s="1">
        <v>60</v>
      </c>
      <c r="AK64" s="1">
        <v>2000.75</v>
      </c>
      <c r="AL64" s="1">
        <v>3.4</v>
      </c>
      <c r="AM64" s="1">
        <v>2.95</v>
      </c>
      <c r="AN64" s="1">
        <v>3.74</v>
      </c>
      <c r="AO64" s="1">
        <v>2.45</v>
      </c>
      <c r="AP64" s="1">
        <v>2.24</v>
      </c>
      <c r="AQ64" s="1">
        <v>2.68</v>
      </c>
      <c r="AR64" s="1">
        <v>2.38</v>
      </c>
      <c r="AS64" s="1">
        <v>4</v>
      </c>
      <c r="AT64" s="1">
        <v>9200000000</v>
      </c>
      <c r="AU64" s="1">
        <v>0.565</v>
      </c>
      <c r="AV64" s="1">
        <v>1.3</v>
      </c>
      <c r="AW64" s="1">
        <v>0.7345</v>
      </c>
      <c r="AX64" s="1">
        <v>111900000</v>
      </c>
      <c r="BE64" s="9">
        <v>0.0246496313455056</v>
      </c>
      <c r="BF64" s="9">
        <f t="shared" si="1"/>
        <v>0.327704374364337</v>
      </c>
    </row>
    <row r="65" ht="15.75" customHeight="1" spans="1:58">
      <c r="A65" s="7" t="s">
        <v>184</v>
      </c>
      <c r="B65" s="1" t="s">
        <v>65</v>
      </c>
      <c r="C65" s="1" t="s">
        <v>66</v>
      </c>
      <c r="D65" s="1">
        <v>2023</v>
      </c>
      <c r="E65" s="1">
        <v>0.906</v>
      </c>
      <c r="F65" s="1">
        <v>2023</v>
      </c>
      <c r="G65" s="1">
        <v>0.371253</v>
      </c>
      <c r="H65" s="1">
        <v>2023</v>
      </c>
      <c r="I65" s="1">
        <v>0.081</v>
      </c>
      <c r="J65" s="1">
        <v>2023</v>
      </c>
      <c r="K65" s="1">
        <v>78.6329</v>
      </c>
      <c r="L65" s="1">
        <v>2022</v>
      </c>
      <c r="M65" s="1">
        <v>0.71730566</v>
      </c>
      <c r="N65" s="1">
        <v>2025</v>
      </c>
      <c r="O65" s="1">
        <v>53</v>
      </c>
      <c r="P65" s="1" t="s">
        <v>185</v>
      </c>
      <c r="Q65" s="1">
        <v>0.029</v>
      </c>
      <c r="R65" s="1">
        <v>0.114</v>
      </c>
      <c r="S65" s="1">
        <v>72.3</v>
      </c>
      <c r="T65" s="1">
        <v>2023</v>
      </c>
      <c r="U65" s="1">
        <v>0.906</v>
      </c>
      <c r="V65" s="1">
        <v>2023</v>
      </c>
      <c r="W65" s="1">
        <v>0.486167</v>
      </c>
      <c r="X65" s="1">
        <v>2023</v>
      </c>
      <c r="Y65" s="1">
        <v>0.081</v>
      </c>
      <c r="Z65" s="1">
        <v>2023</v>
      </c>
      <c r="AA65" s="1">
        <v>78.6329</v>
      </c>
      <c r="AB65" s="1">
        <v>53</v>
      </c>
      <c r="AC65" s="1">
        <v>52</v>
      </c>
      <c r="AD65" s="1">
        <v>23</v>
      </c>
      <c r="AE65" s="1">
        <v>49.6</v>
      </c>
      <c r="AF65" s="1">
        <v>77.8</v>
      </c>
      <c r="AG65" s="1">
        <v>73.8</v>
      </c>
      <c r="AH65" s="1">
        <v>79.6</v>
      </c>
      <c r="AI65" s="1">
        <v>80</v>
      </c>
      <c r="AJ65" s="1">
        <v>70</v>
      </c>
      <c r="AK65" s="1">
        <v>1717.05714285714</v>
      </c>
      <c r="AL65" s="1">
        <v>35.8</v>
      </c>
      <c r="AM65" s="1">
        <v>2.13</v>
      </c>
      <c r="AN65" s="1">
        <v>2.99</v>
      </c>
      <c r="AO65" s="1">
        <v>2.06</v>
      </c>
      <c r="AP65" s="1">
        <v>2.2</v>
      </c>
      <c r="AQ65" s="1">
        <v>1.39</v>
      </c>
      <c r="AR65" s="1">
        <v>1.4</v>
      </c>
      <c r="AS65" s="1">
        <v>2.82</v>
      </c>
      <c r="AT65" s="1">
        <v>29500000000</v>
      </c>
      <c r="AU65" s="1">
        <v>0.496</v>
      </c>
      <c r="AV65" s="1">
        <v>1.8</v>
      </c>
      <c r="AW65" s="1">
        <v>0.8928</v>
      </c>
      <c r="AX65" s="1">
        <v>36800000</v>
      </c>
      <c r="AY65" s="1">
        <v>0.0597590272727273</v>
      </c>
      <c r="AZ65" s="1">
        <v>0.0345355</v>
      </c>
      <c r="BA65" s="1">
        <v>0.0267951654824689</v>
      </c>
      <c r="BB65" s="1">
        <v>0.0132615</v>
      </c>
      <c r="BC65" s="1">
        <v>0.0535938363636364</v>
      </c>
      <c r="BD65" s="1">
        <v>0.0557757</v>
      </c>
      <c r="BE65" s="9">
        <v>0.0109553917091136</v>
      </c>
      <c r="BF65" s="9">
        <f t="shared" si="1"/>
        <v>0.578452924960274</v>
      </c>
    </row>
    <row r="66" ht="15.75" customHeight="1" spans="1:58">
      <c r="A66" s="7" t="s">
        <v>186</v>
      </c>
      <c r="B66" s="1" t="s">
        <v>69</v>
      </c>
      <c r="C66" s="1" t="s">
        <v>66</v>
      </c>
      <c r="D66" s="1">
        <v>2023</v>
      </c>
      <c r="E66" s="1">
        <v>0.89</v>
      </c>
      <c r="F66" s="1">
        <v>2023</v>
      </c>
      <c r="G66" s="1">
        <v>0.325493</v>
      </c>
      <c r="H66" s="1">
        <v>2023</v>
      </c>
      <c r="I66" s="1">
        <v>0.076</v>
      </c>
      <c r="J66" s="1">
        <v>2023</v>
      </c>
      <c r="K66" s="1">
        <v>82.3599</v>
      </c>
      <c r="L66" s="1">
        <v>2022</v>
      </c>
      <c r="M66" s="1">
        <v>0.762673318</v>
      </c>
      <c r="N66" s="1">
        <v>2025</v>
      </c>
      <c r="O66" s="1">
        <v>56</v>
      </c>
      <c r="P66" s="1" t="s">
        <v>187</v>
      </c>
      <c r="Q66" s="1">
        <v>0.065</v>
      </c>
      <c r="R66" s="1">
        <v>0.053</v>
      </c>
      <c r="S66" s="1">
        <v>90.1</v>
      </c>
      <c r="T66" s="1">
        <v>2023</v>
      </c>
      <c r="U66" s="1">
        <v>0.89</v>
      </c>
      <c r="V66" s="1">
        <v>2023</v>
      </c>
      <c r="W66" s="1">
        <v>0.467954</v>
      </c>
      <c r="X66" s="1">
        <v>2023</v>
      </c>
      <c r="Y66" s="1">
        <v>0.076</v>
      </c>
      <c r="Z66" s="1">
        <v>2023</v>
      </c>
      <c r="AA66" s="1">
        <v>82.3599</v>
      </c>
      <c r="AB66" s="1">
        <v>56</v>
      </c>
      <c r="AC66" s="1">
        <v>46</v>
      </c>
      <c r="AD66" s="1">
        <v>24</v>
      </c>
      <c r="AE66" s="1">
        <v>99.1</v>
      </c>
      <c r="AF66" s="1">
        <v>79.6</v>
      </c>
      <c r="AG66" s="1">
        <v>59.8</v>
      </c>
      <c r="AH66" s="1">
        <v>79.6</v>
      </c>
      <c r="AI66" s="1">
        <v>70</v>
      </c>
      <c r="AJ66" s="1">
        <v>60</v>
      </c>
      <c r="AK66" s="1">
        <v>1717.05714285714</v>
      </c>
      <c r="AL66" s="1">
        <v>27.2</v>
      </c>
      <c r="AM66" s="1">
        <v>2.3</v>
      </c>
      <c r="AN66" s="1">
        <v>2.6</v>
      </c>
      <c r="AO66" s="1">
        <v>2.52</v>
      </c>
      <c r="AP66" s="1">
        <v>2.72</v>
      </c>
      <c r="AQ66" s="1">
        <v>1.96</v>
      </c>
      <c r="AR66" s="1">
        <v>1.23</v>
      </c>
      <c r="AS66" s="1">
        <v>3.18</v>
      </c>
      <c r="AT66" s="1">
        <v>9100000000</v>
      </c>
      <c r="AU66" s="1">
        <v>0.991</v>
      </c>
      <c r="AV66" s="1">
        <v>487300000000</v>
      </c>
      <c r="AW66" s="1">
        <v>482914300000</v>
      </c>
      <c r="AX66" s="1">
        <v>10300000</v>
      </c>
      <c r="AY66" s="1">
        <v>0.0776554</v>
      </c>
      <c r="AZ66" s="1">
        <v>0.0949554</v>
      </c>
      <c r="BA66" s="1">
        <v>0.0304810129151068</v>
      </c>
      <c r="BB66" s="1">
        <v>-0.0028975</v>
      </c>
      <c r="BC66" s="1">
        <v>0.0523743090909091</v>
      </c>
      <c r="BD66" s="1">
        <v>0.0563424</v>
      </c>
      <c r="BE66" s="9">
        <v>0.0155201382545776</v>
      </c>
      <c r="BF66" s="9">
        <f t="shared" si="1"/>
        <v>0.494870074761629</v>
      </c>
    </row>
    <row r="67" ht="15.75" customHeight="1" spans="1:58">
      <c r="A67" s="1" t="s">
        <v>188</v>
      </c>
      <c r="B67" s="1" t="s">
        <v>79</v>
      </c>
      <c r="C67" s="1" t="s">
        <v>63</v>
      </c>
      <c r="D67" s="1">
        <v>2023</v>
      </c>
      <c r="E67" s="1">
        <v>0.886</v>
      </c>
      <c r="F67" s="1">
        <v>2023</v>
      </c>
      <c r="G67" s="1">
        <v>0.650315</v>
      </c>
      <c r="H67" s="1">
        <v>2023</v>
      </c>
      <c r="I67" s="1">
        <v>0.195</v>
      </c>
      <c r="J67" s="1">
        <v>2023</v>
      </c>
      <c r="K67" s="1">
        <v>82.368</v>
      </c>
      <c r="L67" s="1">
        <v>2022</v>
      </c>
      <c r="M67" s="1">
        <v>0.870516777</v>
      </c>
      <c r="N67" s="1">
        <v>2025</v>
      </c>
      <c r="O67" s="1">
        <v>58</v>
      </c>
      <c r="P67" s="1" t="s">
        <v>189</v>
      </c>
      <c r="Q67" s="1">
        <v>0.001</v>
      </c>
      <c r="R67" s="1">
        <v>0.031</v>
      </c>
      <c r="S67" s="1">
        <v>71.1</v>
      </c>
      <c r="T67" s="1">
        <v>2023</v>
      </c>
      <c r="U67" s="1">
        <v>0.886</v>
      </c>
      <c r="V67" s="1">
        <v>2023</v>
      </c>
      <c r="W67" s="1">
        <v>0.658091</v>
      </c>
      <c r="X67" s="1">
        <v>2023</v>
      </c>
      <c r="Y67" s="1">
        <v>0.195</v>
      </c>
      <c r="Z67" s="1">
        <v>2023</v>
      </c>
      <c r="AA67" s="1">
        <v>82.368</v>
      </c>
      <c r="AB67" s="1">
        <v>58</v>
      </c>
      <c r="AC67" s="1">
        <v>41</v>
      </c>
      <c r="AD67" s="1">
        <v>91</v>
      </c>
      <c r="AE67" s="1">
        <v>43.3</v>
      </c>
      <c r="AF67" s="1">
        <v>67.9</v>
      </c>
      <c r="AG67" s="1">
        <v>99.9</v>
      </c>
      <c r="AH67" s="1">
        <v>81.6</v>
      </c>
      <c r="AI67" s="1">
        <v>60</v>
      </c>
      <c r="AJ67" s="1">
        <v>60</v>
      </c>
      <c r="AK67" s="1">
        <v>2000.75</v>
      </c>
      <c r="AL67" s="1">
        <v>8.2</v>
      </c>
      <c r="AM67" s="1">
        <v>3.89</v>
      </c>
      <c r="AN67" s="1">
        <v>4.37</v>
      </c>
      <c r="AO67" s="1">
        <v>4.96</v>
      </c>
      <c r="AP67" s="1">
        <v>2.98</v>
      </c>
      <c r="AQ67" s="1">
        <v>3.29</v>
      </c>
      <c r="AR67" s="1">
        <v>3.17</v>
      </c>
      <c r="AS67" s="1">
        <v>4.32</v>
      </c>
      <c r="AT67" s="1">
        <v>76000000</v>
      </c>
      <c r="AU67" s="1">
        <v>0.433</v>
      </c>
      <c r="AV67" s="1">
        <v>342400000000</v>
      </c>
      <c r="AW67" s="1">
        <v>148259200000</v>
      </c>
      <c r="AX67" s="1">
        <v>3100000</v>
      </c>
      <c r="BE67" s="9">
        <v>0.0063906451636496</v>
      </c>
      <c r="BF67" s="9">
        <f t="shared" si="1"/>
        <v>0.66203577515892</v>
      </c>
    </row>
    <row r="68" ht="15.75" customHeight="1" spans="1:58">
      <c r="A68" s="1" t="s">
        <v>190</v>
      </c>
      <c r="B68" s="1" t="s">
        <v>65</v>
      </c>
      <c r="C68" s="1" t="s">
        <v>66</v>
      </c>
      <c r="D68" s="1">
        <v>2023</v>
      </c>
      <c r="E68" s="1">
        <v>0.845</v>
      </c>
      <c r="F68" s="1">
        <v>2023</v>
      </c>
      <c r="G68" s="1">
        <v>0.477532</v>
      </c>
      <c r="H68" s="1">
        <v>2023</v>
      </c>
      <c r="I68" s="1">
        <v>0.227</v>
      </c>
      <c r="J68" s="1">
        <v>2023</v>
      </c>
      <c r="K68" s="1">
        <v>75.9381</v>
      </c>
      <c r="L68" s="1">
        <v>2022</v>
      </c>
      <c r="M68" s="1">
        <v>0.364533067</v>
      </c>
      <c r="N68" s="1">
        <v>2025</v>
      </c>
      <c r="O68" s="1">
        <v>45</v>
      </c>
      <c r="P68" s="1" t="s">
        <v>191</v>
      </c>
      <c r="Q68" s="1">
        <v>0.056</v>
      </c>
      <c r="R68" s="1">
        <v>0.104</v>
      </c>
      <c r="S68" s="1">
        <v>81.7</v>
      </c>
      <c r="T68" s="1">
        <v>2023</v>
      </c>
      <c r="U68" s="1">
        <v>0.845</v>
      </c>
      <c r="V68" s="1">
        <v>2023</v>
      </c>
      <c r="W68" s="1">
        <v>0.542345</v>
      </c>
      <c r="X68" s="1">
        <v>2023</v>
      </c>
      <c r="Y68" s="1">
        <v>0.227</v>
      </c>
      <c r="Z68" s="1">
        <v>2023</v>
      </c>
      <c r="AA68" s="1">
        <v>75.9381</v>
      </c>
      <c r="AB68" s="1">
        <v>45</v>
      </c>
      <c r="AC68" s="1">
        <v>70</v>
      </c>
      <c r="AD68" s="1">
        <v>99</v>
      </c>
      <c r="AE68" s="1">
        <v>52.1</v>
      </c>
      <c r="AF68" s="1">
        <v>75.1</v>
      </c>
      <c r="AG68" s="1">
        <v>93.7</v>
      </c>
      <c r="AH68" s="1">
        <v>79.6</v>
      </c>
      <c r="AI68" s="1">
        <v>70</v>
      </c>
      <c r="AJ68" s="1">
        <v>50</v>
      </c>
      <c r="AK68" s="1">
        <v>1717.05714285714</v>
      </c>
      <c r="AL68" s="1">
        <v>10.2</v>
      </c>
      <c r="AM68" s="1">
        <v>2.61</v>
      </c>
      <c r="AN68" s="1">
        <v>3.78</v>
      </c>
      <c r="AO68" s="1">
        <v>2.66</v>
      </c>
      <c r="AP68" s="1">
        <v>2.56</v>
      </c>
      <c r="AQ68" s="1">
        <v>1.92</v>
      </c>
      <c r="AR68" s="1">
        <v>1.48</v>
      </c>
      <c r="AS68" s="1">
        <v>3</v>
      </c>
      <c r="AT68" s="1">
        <v>11300000000</v>
      </c>
      <c r="AU68" s="1">
        <v>0.521</v>
      </c>
      <c r="AV68" s="1">
        <v>857000000000</v>
      </c>
      <c r="AW68" s="1">
        <v>446497000000</v>
      </c>
      <c r="AX68" s="1">
        <v>19100000</v>
      </c>
      <c r="BE68" s="9">
        <v>0.0284535868000589</v>
      </c>
      <c r="BF68" s="9">
        <f t="shared" ref="BF68:BF92" si="2">IF(BE68="","",-(BE68-AVERAGE($BE$3:$BE$120))/STDEV($BE$3:$BE$120))</f>
        <v>0.258051999198799</v>
      </c>
    </row>
    <row r="69" ht="15.75" customHeight="1" spans="1:58">
      <c r="A69" s="1" t="s">
        <v>192</v>
      </c>
      <c r="B69" s="1" t="s">
        <v>65</v>
      </c>
      <c r="C69" s="1" t="s">
        <v>66</v>
      </c>
      <c r="D69" s="1">
        <v>2023</v>
      </c>
      <c r="E69" s="1">
        <v>0.832</v>
      </c>
      <c r="F69" s="1">
        <v>2023</v>
      </c>
      <c r="G69" s="1">
        <v>0.558209</v>
      </c>
      <c r="H69" s="1">
        <v>2023</v>
      </c>
      <c r="I69" s="1">
        <v>0.169</v>
      </c>
      <c r="J69" s="1">
        <v>2023</v>
      </c>
      <c r="K69" s="1">
        <v>73.1541</v>
      </c>
      <c r="L69" s="1">
        <v>2022</v>
      </c>
      <c r="M69" s="1">
        <v>0.921145887625</v>
      </c>
      <c r="N69" s="1">
        <v>2025</v>
      </c>
      <c r="O69" s="1">
        <v>22</v>
      </c>
      <c r="P69" s="1" t="s">
        <v>193</v>
      </c>
      <c r="Q69" s="1">
        <v>0.033</v>
      </c>
      <c r="R69" s="1">
        <v>0.059</v>
      </c>
      <c r="S69" s="1">
        <v>18.6</v>
      </c>
      <c r="T69" s="1">
        <v>2023</v>
      </c>
      <c r="U69" s="1">
        <v>0.832</v>
      </c>
      <c r="V69" s="1">
        <v>2023</v>
      </c>
      <c r="W69" s="1">
        <v>0.587339</v>
      </c>
      <c r="X69" s="1">
        <v>2023</v>
      </c>
      <c r="Y69" s="1">
        <v>0.169</v>
      </c>
      <c r="Z69" s="1">
        <v>2023</v>
      </c>
      <c r="AA69" s="1">
        <v>73.1541</v>
      </c>
      <c r="AB69" s="1">
        <v>22</v>
      </c>
      <c r="AC69" s="1">
        <v>157</v>
      </c>
      <c r="AD69" s="1">
        <v>22</v>
      </c>
      <c r="AE69" s="1">
        <v>19.5</v>
      </c>
      <c r="AF69" s="1">
        <v>51.3</v>
      </c>
      <c r="AG69" s="1">
        <v>87.7</v>
      </c>
      <c r="AH69" s="1">
        <v>69.4</v>
      </c>
      <c r="AI69" s="1">
        <v>30</v>
      </c>
      <c r="AJ69" s="1">
        <v>30</v>
      </c>
      <c r="AK69" s="1">
        <v>1717.05714285714</v>
      </c>
      <c r="AL69" s="1">
        <v>27.1</v>
      </c>
      <c r="AM69" s="1">
        <v>2.2616</v>
      </c>
      <c r="AN69" s="1">
        <v>2.8232</v>
      </c>
      <c r="AO69" s="1">
        <v>2.538</v>
      </c>
      <c r="AP69" s="1">
        <v>2.2348</v>
      </c>
      <c r="AQ69" s="1">
        <v>1.734</v>
      </c>
      <c r="AR69" s="1">
        <v>1.4236</v>
      </c>
      <c r="AS69" s="1">
        <v>2.926</v>
      </c>
      <c r="AT69" s="1">
        <v>18700000000</v>
      </c>
      <c r="AU69" s="1">
        <v>0.195</v>
      </c>
      <c r="AV69" s="1">
        <v>6.5</v>
      </c>
      <c r="AW69" s="1">
        <v>1.2675</v>
      </c>
      <c r="AX69" s="1">
        <v>146300000</v>
      </c>
      <c r="BE69" s="9">
        <v>0.0389525038546261</v>
      </c>
      <c r="BF69" s="9">
        <f t="shared" si="2"/>
        <v>0.0658114437419132</v>
      </c>
    </row>
    <row r="70" ht="15.75" customHeight="1" spans="1:58">
      <c r="A70" s="1" t="s">
        <v>194</v>
      </c>
      <c r="B70" s="1" t="s">
        <v>69</v>
      </c>
      <c r="C70" s="1" t="s">
        <v>66</v>
      </c>
      <c r="D70" s="1">
        <v>2023</v>
      </c>
      <c r="E70" s="1">
        <v>0.915</v>
      </c>
      <c r="F70" s="1">
        <v>2023</v>
      </c>
      <c r="G70" s="1">
        <v>0.430925</v>
      </c>
      <c r="H70" s="1">
        <v>2023</v>
      </c>
      <c r="I70" s="1">
        <v>0.101564102564103</v>
      </c>
      <c r="J70" s="1">
        <v>2023</v>
      </c>
      <c r="K70" s="1">
        <v>85.7062</v>
      </c>
      <c r="L70" s="1">
        <v>2022</v>
      </c>
      <c r="M70" s="1">
        <v>0.545899749</v>
      </c>
      <c r="N70" s="1">
        <v>2025</v>
      </c>
      <c r="O70" s="1">
        <v>58.2051282051282</v>
      </c>
      <c r="P70" s="1">
        <v>33660</v>
      </c>
      <c r="Q70" s="1">
        <v>0.0611052631578947</v>
      </c>
      <c r="R70" s="1">
        <v>0.0709736842105263</v>
      </c>
      <c r="S70" s="1">
        <v>79.3974358974359</v>
      </c>
      <c r="T70" s="1">
        <v>2023</v>
      </c>
      <c r="U70" s="1">
        <v>0.915</v>
      </c>
      <c r="V70" s="1">
        <v>2023</v>
      </c>
      <c r="W70" s="1">
        <v>0.483271</v>
      </c>
      <c r="X70" s="1">
        <v>2023</v>
      </c>
      <c r="Y70" s="1">
        <v>0.0868421052631579</v>
      </c>
      <c r="Z70" s="1">
        <v>2023</v>
      </c>
      <c r="AA70" s="1">
        <v>85.7062</v>
      </c>
      <c r="AB70" s="1">
        <v>58.2051282051282</v>
      </c>
      <c r="AC70" s="1">
        <v>48.3333333333333</v>
      </c>
      <c r="AD70" s="1">
        <v>48</v>
      </c>
      <c r="AE70" s="1">
        <v>61.8447368421053</v>
      </c>
      <c r="AF70" s="1">
        <v>78.9837837837838</v>
      </c>
      <c r="AG70" s="1">
        <v>71.4578947368421</v>
      </c>
      <c r="AH70" s="1">
        <v>79.5421052631579</v>
      </c>
      <c r="AI70" s="1">
        <v>71.1842105263158</v>
      </c>
      <c r="AJ70" s="1">
        <v>112.794871794872</v>
      </c>
      <c r="AK70" s="1">
        <v>1717.05714285714</v>
      </c>
      <c r="AL70" s="1">
        <v>43.696875</v>
      </c>
      <c r="AM70" s="1">
        <v>2.2616</v>
      </c>
      <c r="AN70" s="1">
        <v>2.8232</v>
      </c>
      <c r="AO70" s="1">
        <v>2.538</v>
      </c>
      <c r="AP70" s="1">
        <v>2.2348</v>
      </c>
      <c r="AQ70" s="1">
        <v>1.734</v>
      </c>
      <c r="AR70" s="1">
        <v>1.4236</v>
      </c>
      <c r="AS70" s="1">
        <v>2.926</v>
      </c>
      <c r="AT70" s="1">
        <v>18657710526.3158</v>
      </c>
      <c r="AU70" s="1">
        <v>0.618447368421053</v>
      </c>
      <c r="AV70" s="1">
        <v>258984210527.103</v>
      </c>
      <c r="AW70" s="1">
        <v>160168103463.091</v>
      </c>
      <c r="AX70" s="1">
        <v>33660</v>
      </c>
      <c r="BE70" s="9"/>
      <c r="BF70" s="9" t="str">
        <f t="shared" si="2"/>
        <v/>
      </c>
    </row>
    <row r="71" ht="15.75" customHeight="1" spans="1:58">
      <c r="A71" s="1" t="s">
        <v>195</v>
      </c>
      <c r="B71" s="1" t="s">
        <v>79</v>
      </c>
      <c r="C71" s="1" t="s">
        <v>63</v>
      </c>
      <c r="D71" s="1">
        <v>2023</v>
      </c>
      <c r="E71" s="1">
        <v>0.9</v>
      </c>
      <c r="F71" s="1">
        <v>2023</v>
      </c>
      <c r="G71" s="1">
        <v>0.644052</v>
      </c>
      <c r="H71" s="1">
        <v>2023</v>
      </c>
      <c r="I71" s="1">
        <v>0.228</v>
      </c>
      <c r="J71" s="1">
        <v>2023</v>
      </c>
      <c r="K71" s="1">
        <v>78.7321</v>
      </c>
      <c r="L71" s="1">
        <v>2022</v>
      </c>
      <c r="M71" s="1">
        <v>0.418585479</v>
      </c>
      <c r="N71" s="1">
        <v>2025</v>
      </c>
      <c r="O71" s="1">
        <v>57</v>
      </c>
      <c r="P71" s="1" t="s">
        <v>196</v>
      </c>
      <c r="Q71" s="1">
        <v>0.049</v>
      </c>
      <c r="R71" s="1">
        <v>0.023</v>
      </c>
      <c r="S71" s="1">
        <v>51</v>
      </c>
      <c r="T71" s="1">
        <v>2023</v>
      </c>
      <c r="U71" s="1">
        <v>0.9</v>
      </c>
      <c r="V71" s="1">
        <v>2023</v>
      </c>
      <c r="W71" s="1">
        <v>0.636473</v>
      </c>
      <c r="X71" s="1">
        <v>2023</v>
      </c>
      <c r="Y71" s="1">
        <v>0.228</v>
      </c>
      <c r="Z71" s="1">
        <v>2023</v>
      </c>
      <c r="AA71" s="1">
        <v>78.7321</v>
      </c>
      <c r="AB71" s="1">
        <v>57</v>
      </c>
      <c r="AC71" s="1">
        <v>45</v>
      </c>
      <c r="AD71" s="1">
        <v>45</v>
      </c>
      <c r="AE71" s="1">
        <v>26.2</v>
      </c>
      <c r="AF71" s="1">
        <v>70.6</v>
      </c>
      <c r="AG71" s="1">
        <v>99.3</v>
      </c>
      <c r="AH71" s="1">
        <v>72.8</v>
      </c>
      <c r="AI71" s="1">
        <v>50</v>
      </c>
      <c r="AJ71" s="1">
        <v>50</v>
      </c>
      <c r="AK71" s="1">
        <v>2000.75</v>
      </c>
      <c r="AL71" s="1">
        <v>8.6</v>
      </c>
      <c r="AM71" s="1">
        <v>2.79</v>
      </c>
      <c r="AN71" s="1">
        <v>3.27</v>
      </c>
      <c r="AO71" s="1">
        <v>3.11</v>
      </c>
      <c r="AP71" s="1">
        <v>1.94</v>
      </c>
      <c r="AQ71" s="1">
        <v>2.3</v>
      </c>
      <c r="AR71" s="1">
        <v>2.32</v>
      </c>
      <c r="AS71" s="1">
        <v>3.73</v>
      </c>
      <c r="AT71" s="1">
        <v>7900000000</v>
      </c>
      <c r="AU71" s="1">
        <v>0.262</v>
      </c>
      <c r="AV71" s="1">
        <v>2</v>
      </c>
      <c r="AW71" s="1">
        <v>0.524</v>
      </c>
      <c r="AX71" s="1">
        <v>32800000</v>
      </c>
      <c r="BE71" s="9">
        <v>0.0077600691272888</v>
      </c>
      <c r="BF71" s="9">
        <f t="shared" si="2"/>
        <v>0.636960920099326</v>
      </c>
    </row>
    <row r="72" ht="15.75" customHeight="1" spans="1:58">
      <c r="A72" s="1" t="s">
        <v>197</v>
      </c>
      <c r="B72" s="1" t="s">
        <v>65</v>
      </c>
      <c r="C72" s="1" t="s">
        <v>66</v>
      </c>
      <c r="D72" s="1">
        <v>2023</v>
      </c>
      <c r="E72" s="1">
        <v>0.833</v>
      </c>
      <c r="F72" s="1">
        <v>2023</v>
      </c>
      <c r="G72" s="1">
        <v>0.437233</v>
      </c>
      <c r="H72" s="1">
        <v>2023</v>
      </c>
      <c r="I72" s="1">
        <v>0.117</v>
      </c>
      <c r="J72" s="1">
        <v>2023</v>
      </c>
      <c r="K72" s="1">
        <v>76.7693</v>
      </c>
      <c r="L72" s="1">
        <v>2022</v>
      </c>
      <c r="M72" s="1">
        <v>0.137092441</v>
      </c>
      <c r="N72" s="1">
        <v>2025</v>
      </c>
      <c r="O72" s="1">
        <v>33</v>
      </c>
      <c r="P72" s="1" t="s">
        <v>198</v>
      </c>
      <c r="Q72" s="1">
        <v>0.087</v>
      </c>
      <c r="R72" s="1">
        <v>0.124</v>
      </c>
      <c r="S72" s="1">
        <v>58.9</v>
      </c>
      <c r="T72" s="1">
        <v>2023</v>
      </c>
      <c r="U72" s="1">
        <v>0.833</v>
      </c>
      <c r="V72" s="1">
        <v>2023</v>
      </c>
      <c r="W72" s="1">
        <v>0.513398</v>
      </c>
      <c r="X72" s="1">
        <v>2023</v>
      </c>
      <c r="Y72" s="1">
        <v>0.117</v>
      </c>
      <c r="Z72" s="1">
        <v>2023</v>
      </c>
      <c r="AA72" s="1">
        <v>76.7693</v>
      </c>
      <c r="AB72" s="1">
        <v>33</v>
      </c>
      <c r="AC72" s="1">
        <v>116</v>
      </c>
      <c r="AD72" s="1">
        <v>68</v>
      </c>
      <c r="AE72" s="1">
        <v>48.9</v>
      </c>
      <c r="AF72" s="1">
        <v>74.7</v>
      </c>
      <c r="AG72" s="1">
        <v>87.3</v>
      </c>
      <c r="AH72" s="1">
        <v>77.2</v>
      </c>
      <c r="AI72" s="1">
        <v>70</v>
      </c>
      <c r="AJ72" s="1">
        <v>50</v>
      </c>
      <c r="AK72" s="1">
        <v>1717.05714285714</v>
      </c>
      <c r="AL72" s="1">
        <v>3.8</v>
      </c>
      <c r="AM72" s="1">
        <v>3.37</v>
      </c>
      <c r="AN72" s="1">
        <v>4.6</v>
      </c>
      <c r="AO72" s="1">
        <v>3.07</v>
      </c>
      <c r="AP72" s="1">
        <v>5</v>
      </c>
      <c r="AQ72" s="1">
        <v>2.19</v>
      </c>
      <c r="AR72" s="1">
        <v>1.83</v>
      </c>
      <c r="AS72" s="1">
        <v>4.18</v>
      </c>
      <c r="AT72" s="1">
        <v>5500000000</v>
      </c>
      <c r="AU72" s="1">
        <v>0.489</v>
      </c>
      <c r="AV72" s="1">
        <v>180000000000</v>
      </c>
      <c r="AW72" s="1">
        <v>88020000000</v>
      </c>
      <c r="AX72" s="1">
        <v>6600000</v>
      </c>
      <c r="BE72" s="9">
        <v>0.0389525038546261</v>
      </c>
      <c r="BF72" s="9">
        <f t="shared" si="2"/>
        <v>0.0658114437419132</v>
      </c>
    </row>
    <row r="73" ht="15.75" customHeight="1" spans="1:58">
      <c r="A73" s="1" t="s">
        <v>199</v>
      </c>
      <c r="B73" s="1" t="s">
        <v>92</v>
      </c>
      <c r="C73" s="1" t="s">
        <v>63</v>
      </c>
      <c r="D73" s="1">
        <v>2023</v>
      </c>
      <c r="E73" s="1">
        <v>0.946</v>
      </c>
      <c r="F73" s="1">
        <v>2023</v>
      </c>
      <c r="G73" s="1">
        <v>0.497119</v>
      </c>
      <c r="H73" s="1">
        <v>2023</v>
      </c>
      <c r="I73" s="1">
        <v>0.031</v>
      </c>
      <c r="J73" s="1">
        <v>2023</v>
      </c>
      <c r="K73" s="1">
        <v>83.7362</v>
      </c>
      <c r="L73" s="1">
        <v>2022</v>
      </c>
      <c r="M73" s="1">
        <v>2.214378357</v>
      </c>
      <c r="N73" s="1">
        <v>2025</v>
      </c>
      <c r="O73" s="1">
        <v>84</v>
      </c>
      <c r="P73" s="1" t="s">
        <v>108</v>
      </c>
      <c r="Q73" s="1">
        <v>0.035</v>
      </c>
      <c r="R73" s="1">
        <v>0.048</v>
      </c>
      <c r="S73" s="1">
        <v>94.3</v>
      </c>
      <c r="T73" s="1">
        <v>2023</v>
      </c>
      <c r="U73" s="1">
        <v>0.946</v>
      </c>
      <c r="V73" s="1">
        <v>2023</v>
      </c>
      <c r="W73" s="1">
        <v>0.513406</v>
      </c>
      <c r="X73" s="1">
        <v>2023</v>
      </c>
      <c r="Y73" s="1">
        <v>0.031</v>
      </c>
      <c r="Z73" s="1">
        <v>2023</v>
      </c>
      <c r="AA73" s="1">
        <v>83.7362</v>
      </c>
      <c r="AB73" s="1">
        <v>84</v>
      </c>
      <c r="AC73" s="1">
        <v>3</v>
      </c>
      <c r="AD73" s="1">
        <v>11</v>
      </c>
      <c r="AE73" s="1">
        <v>174.8</v>
      </c>
      <c r="AF73" s="1">
        <v>90.6</v>
      </c>
      <c r="AG73" s="1">
        <v>89.9</v>
      </c>
      <c r="AH73" s="1">
        <v>95</v>
      </c>
      <c r="AI73" s="1">
        <v>90</v>
      </c>
      <c r="AJ73" s="1">
        <v>80</v>
      </c>
      <c r="AK73" s="1">
        <v>2000.75</v>
      </c>
      <c r="AL73" s="1">
        <v>49.6</v>
      </c>
      <c r="AM73" s="1">
        <v>1.92</v>
      </c>
      <c r="AN73" s="1">
        <v>2.27</v>
      </c>
      <c r="AO73" s="1">
        <v>1.87</v>
      </c>
      <c r="AP73" s="1">
        <v>1.71</v>
      </c>
      <c r="AQ73" s="1">
        <v>1.66</v>
      </c>
      <c r="AR73" s="1">
        <v>1.47</v>
      </c>
      <c r="AS73" s="1">
        <v>2.64</v>
      </c>
      <c r="AT73" s="1">
        <v>141200000000</v>
      </c>
      <c r="AU73" s="1">
        <v>1.748</v>
      </c>
      <c r="AV73" s="1">
        <v>837700000000</v>
      </c>
      <c r="AW73" s="1">
        <v>1464299600000</v>
      </c>
      <c r="AX73" s="1">
        <v>5900000</v>
      </c>
      <c r="BE73" s="9">
        <v>0</v>
      </c>
      <c r="BF73" s="9">
        <f t="shared" si="2"/>
        <v>0.779051765437024</v>
      </c>
    </row>
    <row r="74" ht="15.75" customHeight="1" spans="1:58">
      <c r="A74" s="1" t="s">
        <v>200</v>
      </c>
      <c r="B74" s="1" t="s">
        <v>65</v>
      </c>
      <c r="C74" s="1" t="s">
        <v>66</v>
      </c>
      <c r="D74" s="1">
        <v>2023</v>
      </c>
      <c r="E74" s="1">
        <v>0.88</v>
      </c>
      <c r="F74" s="1">
        <v>2023</v>
      </c>
      <c r="G74" s="1">
        <v>0.284064</v>
      </c>
      <c r="H74" s="1">
        <v>2023</v>
      </c>
      <c r="I74" s="1">
        <v>0.176</v>
      </c>
      <c r="J74" s="1">
        <v>2023</v>
      </c>
      <c r="K74" s="1">
        <v>78.3414</v>
      </c>
      <c r="L74" s="1">
        <v>2022</v>
      </c>
      <c r="M74" s="1">
        <v>0.921145887625</v>
      </c>
      <c r="N74" s="1">
        <v>2025</v>
      </c>
      <c r="O74" s="1">
        <v>48</v>
      </c>
      <c r="P74" s="1" t="s">
        <v>155</v>
      </c>
      <c r="Q74" s="1">
        <v>0.058</v>
      </c>
      <c r="R74" s="1">
        <v>0.11</v>
      </c>
      <c r="S74" s="1">
        <v>84.3</v>
      </c>
      <c r="T74" s="1">
        <v>2023</v>
      </c>
      <c r="U74" s="1">
        <v>0.88</v>
      </c>
      <c r="V74" s="1">
        <v>2023</v>
      </c>
      <c r="W74" s="1">
        <v>0.391923</v>
      </c>
      <c r="X74" s="1">
        <v>2023</v>
      </c>
      <c r="Y74" s="1">
        <v>0.176</v>
      </c>
      <c r="Z74" s="1">
        <v>2023</v>
      </c>
      <c r="AA74" s="1">
        <v>78.3414</v>
      </c>
      <c r="AB74" s="1">
        <v>48</v>
      </c>
      <c r="AC74" s="1">
        <v>61</v>
      </c>
      <c r="AD74" s="1">
        <v>41</v>
      </c>
      <c r="AE74" s="1">
        <v>56</v>
      </c>
      <c r="AF74" s="1">
        <v>77</v>
      </c>
      <c r="AG74" s="1">
        <v>76.7</v>
      </c>
      <c r="AH74" s="1">
        <v>79.6</v>
      </c>
      <c r="AI74" s="1">
        <v>75</v>
      </c>
      <c r="AJ74" s="1">
        <v>70</v>
      </c>
      <c r="AK74" s="1">
        <v>1717.05714285714</v>
      </c>
      <c r="AL74" s="1">
        <v>5.4</v>
      </c>
      <c r="AM74" s="1">
        <v>2.62</v>
      </c>
      <c r="AN74" s="1">
        <v>4.05</v>
      </c>
      <c r="AO74" s="1">
        <v>2.36</v>
      </c>
      <c r="AP74" s="1">
        <v>2.61</v>
      </c>
      <c r="AQ74" s="1">
        <v>1.83</v>
      </c>
      <c r="AR74" s="1">
        <v>1.47</v>
      </c>
      <c r="AS74" s="1">
        <v>3.09</v>
      </c>
      <c r="AT74" s="1">
        <v>2900000000</v>
      </c>
      <c r="AU74" s="1">
        <v>0.56</v>
      </c>
      <c r="AV74" s="1">
        <v>236500000000</v>
      </c>
      <c r="AW74" s="1">
        <v>132440000000</v>
      </c>
      <c r="AX74" s="1">
        <v>5400000</v>
      </c>
      <c r="BE74" s="9">
        <v>0.0155201382545776</v>
      </c>
      <c r="BF74" s="9">
        <f t="shared" si="2"/>
        <v>0.494870074761629</v>
      </c>
    </row>
    <row r="75" ht="15.75" customHeight="1" spans="1:58">
      <c r="A75" s="1" t="s">
        <v>201</v>
      </c>
      <c r="B75" s="1" t="s">
        <v>69</v>
      </c>
      <c r="C75" s="1" t="s">
        <v>66</v>
      </c>
      <c r="D75" s="1">
        <v>2023</v>
      </c>
      <c r="E75" s="1">
        <v>0.931</v>
      </c>
      <c r="F75" s="1">
        <v>2023</v>
      </c>
      <c r="G75" s="1">
        <v>0.29688</v>
      </c>
      <c r="H75" s="1">
        <v>2023</v>
      </c>
      <c r="I75" s="1">
        <v>0.042</v>
      </c>
      <c r="J75" s="1">
        <v>2023</v>
      </c>
      <c r="K75" s="1">
        <v>81.6034</v>
      </c>
      <c r="L75" s="1">
        <v>2022</v>
      </c>
      <c r="M75" s="1">
        <v>0.694944024</v>
      </c>
      <c r="N75" s="1">
        <v>2025</v>
      </c>
      <c r="O75" s="1">
        <v>58</v>
      </c>
      <c r="P75" s="1" t="s">
        <v>202</v>
      </c>
      <c r="Q75" s="1">
        <v>0.036</v>
      </c>
      <c r="R75" s="1">
        <v>0.074</v>
      </c>
      <c r="S75" s="1">
        <v>88.4</v>
      </c>
      <c r="T75" s="1">
        <v>2023</v>
      </c>
      <c r="U75" s="1">
        <v>0.931</v>
      </c>
      <c r="V75" s="1">
        <v>2023</v>
      </c>
      <c r="W75" s="1">
        <v>0.390672</v>
      </c>
      <c r="X75" s="1">
        <v>2023</v>
      </c>
      <c r="Y75" s="1">
        <v>0.042</v>
      </c>
      <c r="Z75" s="1">
        <v>2023</v>
      </c>
      <c r="AA75" s="1">
        <v>81.6034</v>
      </c>
      <c r="AB75" s="1">
        <v>58</v>
      </c>
      <c r="AC75" s="1">
        <v>41</v>
      </c>
      <c r="AD75" s="1">
        <v>5</v>
      </c>
      <c r="AE75" s="1">
        <v>68.4</v>
      </c>
      <c r="AF75" s="1">
        <v>78.5</v>
      </c>
      <c r="AG75" s="1">
        <v>56.6</v>
      </c>
      <c r="AH75" s="1">
        <v>79.6</v>
      </c>
      <c r="AI75" s="1">
        <v>70</v>
      </c>
      <c r="AJ75" s="1">
        <v>50</v>
      </c>
      <c r="AK75" s="1">
        <v>1717.05714285714</v>
      </c>
      <c r="AL75" s="1">
        <v>7.8</v>
      </c>
      <c r="AM75" s="1">
        <v>3.25</v>
      </c>
      <c r="AN75" s="1">
        <v>4.57</v>
      </c>
      <c r="AO75" s="1">
        <v>3.83</v>
      </c>
      <c r="AP75" s="1">
        <v>5</v>
      </c>
      <c r="AQ75" s="1">
        <v>1.67</v>
      </c>
      <c r="AR75" s="1">
        <v>1.57</v>
      </c>
      <c r="AS75" s="1">
        <v>3.5</v>
      </c>
      <c r="AT75" s="1">
        <v>1600000000</v>
      </c>
      <c r="AU75" s="1">
        <v>0.684</v>
      </c>
      <c r="AV75" s="1">
        <v>113500000000</v>
      </c>
      <c r="AW75" s="1">
        <v>77634000000</v>
      </c>
      <c r="AX75" s="1">
        <v>2100000</v>
      </c>
      <c r="BE75" s="9">
        <v>0.0155201382545776</v>
      </c>
      <c r="BF75" s="9">
        <f t="shared" si="2"/>
        <v>0.494870074761629</v>
      </c>
    </row>
    <row r="76" ht="15.75" customHeight="1" spans="1:58">
      <c r="A76" s="7" t="s">
        <v>203</v>
      </c>
      <c r="B76" s="1" t="s">
        <v>99</v>
      </c>
      <c r="C76" s="1" t="s">
        <v>63</v>
      </c>
      <c r="D76" s="1">
        <v>2023</v>
      </c>
      <c r="E76" s="1">
        <v>0.937</v>
      </c>
      <c r="F76" s="1">
        <v>2023</v>
      </c>
      <c r="G76" s="1">
        <v>0.375316</v>
      </c>
      <c r="H76" s="1">
        <v>2023</v>
      </c>
      <c r="I76" s="1">
        <v>0.038</v>
      </c>
      <c r="J76" s="1">
        <v>2023</v>
      </c>
      <c r="K76" s="1">
        <v>84.3288</v>
      </c>
      <c r="L76" s="1">
        <v>2022</v>
      </c>
      <c r="M76" s="1">
        <v>-0.0946318026285714</v>
      </c>
      <c r="N76" s="1">
        <v>2025</v>
      </c>
      <c r="O76" s="1">
        <v>39.2325581395349</v>
      </c>
      <c r="P76" s="1" t="s">
        <v>204</v>
      </c>
      <c r="Q76" s="1">
        <v>0.026</v>
      </c>
      <c r="R76" s="1">
        <v>0.036</v>
      </c>
      <c r="S76" s="1">
        <v>89.4</v>
      </c>
      <c r="T76" s="1">
        <v>2023</v>
      </c>
      <c r="U76" s="1">
        <v>0.937</v>
      </c>
      <c r="V76" s="1">
        <v>2023</v>
      </c>
      <c r="W76" s="1">
        <v>0.45705</v>
      </c>
      <c r="X76" s="1">
        <v>2023</v>
      </c>
      <c r="Y76" s="1">
        <v>0.038</v>
      </c>
      <c r="Z76" s="1">
        <v>2023</v>
      </c>
      <c r="AA76" s="1">
        <v>84.3288</v>
      </c>
      <c r="AB76" s="1">
        <v>39.2325581395349</v>
      </c>
      <c r="AC76" s="1">
        <v>99.046511627907</v>
      </c>
      <c r="AD76" s="1">
        <v>1</v>
      </c>
      <c r="AE76" s="1">
        <v>51.5</v>
      </c>
      <c r="AF76" s="1">
        <v>90</v>
      </c>
      <c r="AG76" s="1">
        <v>59.6</v>
      </c>
      <c r="AH76" s="1">
        <v>73.2</v>
      </c>
      <c r="AI76" s="1">
        <v>60</v>
      </c>
      <c r="AJ76" s="1">
        <v>60</v>
      </c>
      <c r="AK76" s="1">
        <v>2000.75</v>
      </c>
      <c r="AL76" s="1">
        <v>72.5</v>
      </c>
      <c r="AM76" s="1">
        <v>2.35</v>
      </c>
      <c r="AN76" s="1">
        <v>3.08</v>
      </c>
      <c r="AO76" s="1">
        <v>2.05</v>
      </c>
      <c r="AP76" s="1">
        <v>2.2</v>
      </c>
      <c r="AQ76" s="1">
        <v>1.57</v>
      </c>
      <c r="AR76" s="1">
        <v>2.32</v>
      </c>
      <c r="AS76" s="1">
        <v>3.05</v>
      </c>
      <c r="AT76" s="1">
        <v>18000000000</v>
      </c>
      <c r="AU76" s="1">
        <v>0.515</v>
      </c>
      <c r="AV76" s="1">
        <v>3.1</v>
      </c>
      <c r="AW76" s="1">
        <v>1.5965</v>
      </c>
      <c r="AX76" s="1">
        <v>51700000</v>
      </c>
      <c r="AY76" s="1">
        <v>0.0804738727272727</v>
      </c>
      <c r="AZ76" s="1">
        <v>0.0546308</v>
      </c>
      <c r="BA76" s="1">
        <v>0.0183191906288108</v>
      </c>
      <c r="BB76" s="1">
        <v>0.0546308</v>
      </c>
      <c r="BC76" s="1">
        <v>0.0405563636363636</v>
      </c>
      <c r="BD76" s="1">
        <v>0.0367796</v>
      </c>
      <c r="BE76" s="9">
        <v>0.0063906451636496</v>
      </c>
      <c r="BF76" s="9">
        <f t="shared" si="2"/>
        <v>0.66203577515892</v>
      </c>
    </row>
    <row r="77" ht="15.75" customHeight="1" spans="1:58">
      <c r="A77" s="7" t="s">
        <v>205</v>
      </c>
      <c r="B77" s="1" t="s">
        <v>69</v>
      </c>
      <c r="C77" s="1" t="s">
        <v>66</v>
      </c>
      <c r="D77" s="1">
        <v>2023</v>
      </c>
      <c r="E77" s="1">
        <v>0.918</v>
      </c>
      <c r="F77" s="1">
        <v>2023</v>
      </c>
      <c r="G77" s="1">
        <v>0.312861</v>
      </c>
      <c r="H77" s="1">
        <v>2023</v>
      </c>
      <c r="I77" s="1">
        <v>0.043</v>
      </c>
      <c r="J77" s="1">
        <v>2023</v>
      </c>
      <c r="K77" s="1">
        <v>83.6703</v>
      </c>
      <c r="L77" s="1">
        <v>2022</v>
      </c>
      <c r="M77" s="1">
        <v>0.797074437</v>
      </c>
      <c r="N77" s="1">
        <v>2025</v>
      </c>
      <c r="O77" s="1">
        <v>55</v>
      </c>
      <c r="P77" s="1" t="s">
        <v>206</v>
      </c>
      <c r="Q77" s="1">
        <v>0.121</v>
      </c>
      <c r="R77" s="1">
        <v>0.034</v>
      </c>
      <c r="S77" s="1">
        <v>87.2</v>
      </c>
      <c r="T77" s="1">
        <v>2023</v>
      </c>
      <c r="U77" s="1">
        <v>0.918</v>
      </c>
      <c r="V77" s="1">
        <v>2023</v>
      </c>
      <c r="W77" s="1">
        <v>0.429304</v>
      </c>
      <c r="X77" s="1">
        <v>2023</v>
      </c>
      <c r="Y77" s="1">
        <v>0.043</v>
      </c>
      <c r="Z77" s="1">
        <v>2023</v>
      </c>
      <c r="AA77" s="1">
        <v>83.6703</v>
      </c>
      <c r="AB77" s="1">
        <v>55</v>
      </c>
      <c r="AC77" s="1">
        <v>49</v>
      </c>
      <c r="AD77" s="1">
        <v>20</v>
      </c>
      <c r="AE77" s="1">
        <v>105</v>
      </c>
      <c r="AF77" s="1">
        <v>83.6</v>
      </c>
      <c r="AG77" s="1">
        <v>57.7</v>
      </c>
      <c r="AH77" s="1">
        <v>84.6</v>
      </c>
      <c r="AI77" s="1">
        <v>70</v>
      </c>
      <c r="AJ77" s="1">
        <v>60</v>
      </c>
      <c r="AK77" s="1">
        <v>1717.05714285714</v>
      </c>
      <c r="AL77" s="1">
        <v>40.8</v>
      </c>
      <c r="AM77" s="1">
        <v>2.06</v>
      </c>
      <c r="AN77" s="1">
        <v>2.4</v>
      </c>
      <c r="AO77" s="1">
        <v>2.38</v>
      </c>
      <c r="AP77" s="1">
        <v>1.74</v>
      </c>
      <c r="AQ77" s="1">
        <v>1.8</v>
      </c>
      <c r="AR77" s="1">
        <v>1.17</v>
      </c>
      <c r="AS77" s="1">
        <v>3</v>
      </c>
      <c r="AT77" s="1">
        <v>34800000000</v>
      </c>
      <c r="AU77" s="1">
        <v>1.05</v>
      </c>
      <c r="AV77" s="1">
        <v>2.5</v>
      </c>
      <c r="AW77" s="1">
        <v>2.625</v>
      </c>
      <c r="AX77" s="1">
        <v>47800000</v>
      </c>
      <c r="AY77" s="1">
        <v>0.0809959</v>
      </c>
      <c r="AZ77" s="1">
        <v>0.0642733</v>
      </c>
      <c r="BA77" s="1">
        <v>0.0476765507475492</v>
      </c>
      <c r="BB77" s="1">
        <v>0.002519</v>
      </c>
      <c r="BC77" s="1">
        <v>0.0445145545454545</v>
      </c>
      <c r="BD77" s="1">
        <v>0.0466719</v>
      </c>
      <c r="BE77" s="9">
        <v>0.0155201382545776</v>
      </c>
      <c r="BF77" s="9">
        <f t="shared" si="2"/>
        <v>0.494870074761629</v>
      </c>
    </row>
    <row r="78" ht="15.75" customHeight="1" spans="1:58">
      <c r="A78" s="1" t="s">
        <v>207</v>
      </c>
      <c r="B78" s="1" t="s">
        <v>62</v>
      </c>
      <c r="C78" s="1" t="s">
        <v>63</v>
      </c>
      <c r="D78" s="1">
        <v>2023</v>
      </c>
      <c r="E78" s="1">
        <v>0.776</v>
      </c>
      <c r="F78" s="1">
        <v>2023</v>
      </c>
      <c r="G78" s="1">
        <v>0.577706</v>
      </c>
      <c r="H78" s="1">
        <v>2023</v>
      </c>
      <c r="I78" s="1">
        <v>0.367</v>
      </c>
      <c r="J78" s="1">
        <v>2023</v>
      </c>
      <c r="K78" s="1">
        <v>77.4828</v>
      </c>
      <c r="L78" s="1">
        <v>2022</v>
      </c>
      <c r="M78" s="1">
        <v>-0.653642833</v>
      </c>
      <c r="N78" s="1">
        <v>2025</v>
      </c>
      <c r="O78" s="1">
        <v>35</v>
      </c>
      <c r="P78" s="1" t="s">
        <v>208</v>
      </c>
      <c r="Q78" s="1">
        <v>0.064</v>
      </c>
      <c r="R78" s="1">
        <v>0.452</v>
      </c>
      <c r="S78" s="1">
        <v>51.3</v>
      </c>
      <c r="T78" s="1">
        <v>2023</v>
      </c>
      <c r="U78" s="1">
        <v>0.776</v>
      </c>
      <c r="V78" s="1">
        <v>2023</v>
      </c>
      <c r="W78" s="1">
        <v>0.575437</v>
      </c>
      <c r="X78" s="1">
        <v>2023</v>
      </c>
      <c r="Y78" s="1">
        <v>0.367</v>
      </c>
      <c r="Z78" s="1">
        <v>2023</v>
      </c>
      <c r="AA78" s="1">
        <v>77.4828</v>
      </c>
      <c r="AB78" s="1">
        <v>35</v>
      </c>
      <c r="AC78" s="1">
        <v>107</v>
      </c>
      <c r="AD78" s="1">
        <v>61</v>
      </c>
      <c r="AE78" s="1">
        <v>115.5</v>
      </c>
      <c r="AF78" s="1">
        <v>55.8</v>
      </c>
      <c r="AG78" s="1">
        <v>77.5</v>
      </c>
      <c r="AH78" s="1">
        <v>65</v>
      </c>
      <c r="AI78" s="1">
        <v>30</v>
      </c>
      <c r="AJ78" s="1">
        <v>30</v>
      </c>
      <c r="AK78" s="1">
        <v>2002</v>
      </c>
      <c r="AL78" s="1">
        <v>2</v>
      </c>
      <c r="AM78" s="1">
        <v>3.69</v>
      </c>
      <c r="AN78" s="1">
        <v>4.66</v>
      </c>
      <c r="AO78" s="1">
        <v>3.15</v>
      </c>
      <c r="AP78" s="1">
        <v>5</v>
      </c>
      <c r="AQ78" s="1">
        <v>2.76</v>
      </c>
      <c r="AR78" s="1">
        <v>2.6</v>
      </c>
      <c r="AS78" s="1">
        <v>4.64</v>
      </c>
      <c r="AT78" s="1">
        <v>898000000</v>
      </c>
      <c r="AU78" s="1">
        <v>1.155</v>
      </c>
      <c r="AV78" s="1">
        <v>319500000000</v>
      </c>
      <c r="AW78" s="1">
        <v>369022500000</v>
      </c>
      <c r="AX78" s="1">
        <v>22200000</v>
      </c>
      <c r="BE78" s="9">
        <v>0.155353540763958</v>
      </c>
      <c r="BF78" s="9">
        <f t="shared" si="2"/>
        <v>-2.06555123632356</v>
      </c>
    </row>
    <row r="79" ht="15.75" customHeight="1" spans="1:58">
      <c r="A79" s="7" t="s">
        <v>209</v>
      </c>
      <c r="B79" s="1" t="s">
        <v>107</v>
      </c>
      <c r="C79" s="1" t="s">
        <v>66</v>
      </c>
      <c r="D79" s="1">
        <v>2023</v>
      </c>
      <c r="E79" s="1">
        <v>0.959</v>
      </c>
      <c r="F79" s="1">
        <v>2023</v>
      </c>
      <c r="G79" s="1">
        <v>0.242173</v>
      </c>
      <c r="H79" s="1">
        <v>2023</v>
      </c>
      <c r="I79" s="1">
        <v>0.007</v>
      </c>
      <c r="J79" s="1">
        <v>2023</v>
      </c>
      <c r="K79" s="1">
        <v>83.2624</v>
      </c>
      <c r="L79" s="1">
        <v>2022</v>
      </c>
      <c r="M79" s="1">
        <v>1.681576967</v>
      </c>
      <c r="N79" s="1">
        <v>2025</v>
      </c>
      <c r="O79" s="1">
        <v>80</v>
      </c>
      <c r="P79" s="1" t="s">
        <v>210</v>
      </c>
      <c r="Q79" s="1">
        <v>0.076</v>
      </c>
      <c r="R79" s="1">
        <v>0.059</v>
      </c>
      <c r="S79" s="1">
        <v>96.5</v>
      </c>
      <c r="T79" s="1">
        <v>2023</v>
      </c>
      <c r="U79" s="1">
        <v>0.959</v>
      </c>
      <c r="V79" s="1">
        <v>2023</v>
      </c>
      <c r="W79" s="1">
        <v>0.393803</v>
      </c>
      <c r="X79" s="1">
        <v>2023</v>
      </c>
      <c r="Y79" s="1">
        <v>0.007</v>
      </c>
      <c r="Z79" s="1">
        <v>2023</v>
      </c>
      <c r="AA79" s="1">
        <v>83.2624</v>
      </c>
      <c r="AB79" s="1">
        <v>80</v>
      </c>
      <c r="AC79" s="1">
        <v>6</v>
      </c>
      <c r="AD79" s="1">
        <v>15</v>
      </c>
      <c r="AE79" s="1">
        <v>36.4</v>
      </c>
      <c r="AF79" s="1">
        <v>84.6</v>
      </c>
      <c r="AG79" s="1">
        <v>51.6</v>
      </c>
      <c r="AH79" s="1">
        <v>79.6</v>
      </c>
      <c r="AI79" s="1">
        <v>85</v>
      </c>
      <c r="AJ79" s="1">
        <v>80</v>
      </c>
      <c r="AK79" s="1">
        <v>1717.05714285714</v>
      </c>
      <c r="AL79" s="1">
        <v>99.9</v>
      </c>
      <c r="AM79" s="1">
        <v>1.77</v>
      </c>
      <c r="AN79" s="1">
        <v>1.89</v>
      </c>
      <c r="AO79" s="1">
        <v>2.71</v>
      </c>
      <c r="AP79" s="1">
        <v>1.3</v>
      </c>
      <c r="AQ79" s="1">
        <v>1.2</v>
      </c>
      <c r="AR79" s="1">
        <v>1.2</v>
      </c>
      <c r="AS79" s="1">
        <v>2.55</v>
      </c>
      <c r="AT79" s="1">
        <v>46000000000</v>
      </c>
      <c r="AU79" s="1">
        <v>0.364</v>
      </c>
      <c r="AV79" s="1">
        <v>739100000000</v>
      </c>
      <c r="AW79" s="1">
        <v>269032400000</v>
      </c>
      <c r="AX79" s="1">
        <v>10600000</v>
      </c>
      <c r="AY79" s="1">
        <v>0.0836375454545455</v>
      </c>
      <c r="AZ79" s="1">
        <v>0.0459795</v>
      </c>
      <c r="BA79" s="1">
        <v>0.0538709967712323</v>
      </c>
      <c r="BB79" s="1">
        <v>-0.0382584</v>
      </c>
      <c r="BC79" s="1">
        <v>0.0390548636363636</v>
      </c>
      <c r="BD79" s="1">
        <v>0.0402946</v>
      </c>
      <c r="BE79" s="9">
        <v>0</v>
      </c>
      <c r="BF79" s="9">
        <f t="shared" si="2"/>
        <v>0.779051765437024</v>
      </c>
    </row>
    <row r="80" ht="15.75" customHeight="1" spans="1:58">
      <c r="A80" s="7" t="s">
        <v>211</v>
      </c>
      <c r="B80" s="1" t="s">
        <v>74</v>
      </c>
      <c r="C80" s="1" t="s">
        <v>66</v>
      </c>
      <c r="D80" s="1">
        <v>2023</v>
      </c>
      <c r="E80" s="1">
        <v>0.97</v>
      </c>
      <c r="F80" s="1">
        <v>2023</v>
      </c>
      <c r="G80" s="1">
        <v>0.249466</v>
      </c>
      <c r="H80" s="1">
        <v>2023</v>
      </c>
      <c r="I80" s="1">
        <v>0.01</v>
      </c>
      <c r="J80" s="1">
        <v>2023</v>
      </c>
      <c r="K80" s="1">
        <v>83.9536</v>
      </c>
      <c r="L80" s="1">
        <v>2022</v>
      </c>
      <c r="M80" s="1">
        <v>1.620113015</v>
      </c>
      <c r="N80" s="1">
        <v>2025</v>
      </c>
      <c r="O80" s="1">
        <v>80</v>
      </c>
      <c r="P80" s="1" t="s">
        <v>212</v>
      </c>
      <c r="Q80" s="1">
        <v>0.04</v>
      </c>
      <c r="R80" s="1">
        <v>0.021</v>
      </c>
      <c r="S80" s="1">
        <v>94.5</v>
      </c>
      <c r="T80" s="1">
        <v>2023</v>
      </c>
      <c r="U80" s="1">
        <v>0.97</v>
      </c>
      <c r="V80" s="1">
        <v>2023</v>
      </c>
      <c r="W80" s="1">
        <v>0.404467</v>
      </c>
      <c r="X80" s="1">
        <v>2023</v>
      </c>
      <c r="Y80" s="1">
        <v>0.01</v>
      </c>
      <c r="Z80" s="1">
        <v>2023</v>
      </c>
      <c r="AA80" s="1">
        <v>83.9536</v>
      </c>
      <c r="AB80" s="1">
        <v>80</v>
      </c>
      <c r="AC80" s="1">
        <v>6</v>
      </c>
      <c r="AD80" s="1">
        <v>28</v>
      </c>
      <c r="AE80" s="1">
        <v>33.3</v>
      </c>
      <c r="AF80" s="1">
        <v>88.8</v>
      </c>
      <c r="AG80" s="1">
        <v>70.9</v>
      </c>
      <c r="AH80" s="1">
        <v>86.6</v>
      </c>
      <c r="AI80" s="1">
        <v>85</v>
      </c>
      <c r="AJ80" s="1">
        <v>80</v>
      </c>
      <c r="AK80" s="1">
        <v>1717.05714285714</v>
      </c>
      <c r="AL80" s="1">
        <v>90.1</v>
      </c>
      <c r="AM80" s="1">
        <v>2.05</v>
      </c>
      <c r="AN80" s="1">
        <v>1.92</v>
      </c>
      <c r="AO80" s="1">
        <v>2.99</v>
      </c>
      <c r="AP80" s="1">
        <v>1.6</v>
      </c>
      <c r="AQ80" s="1">
        <v>1.74</v>
      </c>
      <c r="AR80" s="1">
        <v>1.5</v>
      </c>
      <c r="AS80" s="1">
        <v>2.86</v>
      </c>
      <c r="AT80" s="1">
        <v>13300000000</v>
      </c>
      <c r="AU80" s="1">
        <v>0.333</v>
      </c>
      <c r="AV80" s="1">
        <v>820300000000</v>
      </c>
      <c r="AW80" s="1">
        <v>273159900000</v>
      </c>
      <c r="AX80" s="1">
        <v>8800000</v>
      </c>
      <c r="AY80" s="1">
        <v>0.0543698727272727</v>
      </c>
      <c r="AZ80" s="1">
        <v>0.0449969</v>
      </c>
      <c r="BA80" s="1">
        <v>0.0138267512455247</v>
      </c>
      <c r="BB80" s="1">
        <v>0.0160993</v>
      </c>
      <c r="BC80" s="1">
        <v>0.0345325272727273</v>
      </c>
      <c r="BD80" s="1">
        <v>0.0313872</v>
      </c>
      <c r="BE80" s="9">
        <v>0</v>
      </c>
      <c r="BF80" s="9">
        <f t="shared" si="2"/>
        <v>0.779051765437024</v>
      </c>
    </row>
    <row r="81" ht="15.75" customHeight="1" spans="1:58">
      <c r="A81" s="1" t="s">
        <v>213</v>
      </c>
      <c r="B81" s="1" t="s">
        <v>79</v>
      </c>
      <c r="C81" s="1" t="s">
        <v>63</v>
      </c>
      <c r="D81" s="1">
        <v>2023</v>
      </c>
      <c r="E81" s="1">
        <v>0.564</v>
      </c>
      <c r="F81" s="1">
        <v>2023</v>
      </c>
      <c r="G81" s="1">
        <v>0.613207</v>
      </c>
      <c r="H81" s="1">
        <v>2023</v>
      </c>
      <c r="I81" s="1">
        <v>0.49</v>
      </c>
      <c r="J81" s="1">
        <v>2023</v>
      </c>
      <c r="K81" s="1">
        <v>72.1201</v>
      </c>
      <c r="L81" s="1">
        <v>2022</v>
      </c>
      <c r="M81" s="1">
        <v>-0.0946318026285714</v>
      </c>
      <c r="N81" s="1">
        <v>2025</v>
      </c>
      <c r="O81" s="1">
        <v>15</v>
      </c>
      <c r="P81" s="1">
        <v>23227000</v>
      </c>
      <c r="Q81" s="1">
        <v>0.0557</v>
      </c>
      <c r="R81" s="1">
        <v>0.133609756097561</v>
      </c>
      <c r="S81" s="1">
        <v>2.6</v>
      </c>
      <c r="T81" s="1">
        <v>2023</v>
      </c>
      <c r="U81" s="1">
        <v>0.564</v>
      </c>
      <c r="V81" s="1">
        <v>2023</v>
      </c>
      <c r="W81" s="1">
        <v>0.637919</v>
      </c>
      <c r="X81" s="1">
        <v>2023</v>
      </c>
      <c r="Y81" s="1">
        <v>0.49</v>
      </c>
      <c r="Z81" s="1">
        <v>2023</v>
      </c>
      <c r="AA81" s="1">
        <v>72.1201</v>
      </c>
      <c r="AB81" s="1">
        <v>15</v>
      </c>
      <c r="AC81" s="1">
        <v>172</v>
      </c>
      <c r="AD81" s="1">
        <v>197</v>
      </c>
      <c r="AE81" s="1">
        <v>65.5275</v>
      </c>
      <c r="AF81" s="1">
        <v>66.3184210526316</v>
      </c>
      <c r="AG81" s="1">
        <v>85.1289473684211</v>
      </c>
      <c r="AH81" s="1">
        <v>74.0157894736842</v>
      </c>
      <c r="AI81" s="1">
        <v>50.2631578947368</v>
      </c>
      <c r="AJ81" s="1">
        <v>97.8974358974359</v>
      </c>
      <c r="AK81" s="1">
        <v>2003</v>
      </c>
      <c r="AL81" s="1">
        <v>16.5413793103448</v>
      </c>
      <c r="AM81" s="1">
        <v>3.23421052631579</v>
      </c>
      <c r="AN81" s="1">
        <v>3.68526315789474</v>
      </c>
      <c r="AO81" s="1">
        <v>3.41421052631579</v>
      </c>
      <c r="AP81" s="1">
        <v>2.82368421052632</v>
      </c>
      <c r="AQ81" s="1">
        <v>2.72947368421053</v>
      </c>
      <c r="AR81" s="1">
        <v>2.78368421052632</v>
      </c>
      <c r="AS81" s="1">
        <v>3.93555555555556</v>
      </c>
      <c r="AT81" s="1">
        <v>15892717948.718</v>
      </c>
      <c r="AU81" s="1">
        <v>0.655275</v>
      </c>
      <c r="AV81" s="1">
        <v>162341463416.554</v>
      </c>
      <c r="AW81" s="1">
        <v>106378302440.282</v>
      </c>
      <c r="AX81" s="1">
        <v>23227000</v>
      </c>
      <c r="BE81" s="9">
        <v>0.155353540763958</v>
      </c>
      <c r="BF81" s="9">
        <f t="shared" si="2"/>
        <v>-2.06555123632356</v>
      </c>
    </row>
    <row r="82" ht="15.75" customHeight="1" spans="1:58">
      <c r="A82" s="1" t="s">
        <v>214</v>
      </c>
      <c r="B82" s="1" t="s">
        <v>145</v>
      </c>
      <c r="C82" s="1" t="s">
        <v>63</v>
      </c>
      <c r="D82" s="1">
        <v>2023</v>
      </c>
      <c r="E82" s="1">
        <v>0.691</v>
      </c>
      <c r="F82" s="1">
        <v>2023</v>
      </c>
      <c r="G82" s="1">
        <v>0.532315</v>
      </c>
      <c r="H82" s="1">
        <v>2023</v>
      </c>
      <c r="I82" s="1">
        <v>0.258</v>
      </c>
      <c r="J82" s="1">
        <v>2023</v>
      </c>
      <c r="K82" s="1">
        <v>71.7901</v>
      </c>
      <c r="L82" s="1">
        <v>2022</v>
      </c>
      <c r="M82" s="1">
        <v>-1.197977424</v>
      </c>
      <c r="N82" s="1">
        <v>2025</v>
      </c>
      <c r="O82" s="1">
        <v>19</v>
      </c>
      <c r="P82" s="1" t="s">
        <v>215</v>
      </c>
      <c r="Q82" s="1">
        <v>0.07</v>
      </c>
      <c r="R82" s="1">
        <v>0.037</v>
      </c>
      <c r="S82" s="1">
        <v>28.8</v>
      </c>
      <c r="T82" s="1">
        <v>2023</v>
      </c>
      <c r="U82" s="1">
        <v>0.691</v>
      </c>
      <c r="V82" s="1">
        <v>2023</v>
      </c>
      <c r="W82" s="1">
        <v>0.523006</v>
      </c>
      <c r="X82" s="1">
        <v>2023</v>
      </c>
      <c r="Y82" s="1">
        <v>0.258</v>
      </c>
      <c r="Z82" s="1">
        <v>2023</v>
      </c>
      <c r="AA82" s="1">
        <v>71.7901</v>
      </c>
      <c r="AB82" s="1">
        <v>19</v>
      </c>
      <c r="AC82" s="1">
        <v>166</v>
      </c>
      <c r="AD82" s="1">
        <v>87</v>
      </c>
      <c r="AE82" s="1">
        <v>30.9</v>
      </c>
      <c r="AF82" s="1">
        <v>56.2</v>
      </c>
      <c r="AG82" s="1">
        <v>92.3</v>
      </c>
      <c r="AH82" s="1">
        <v>72.2</v>
      </c>
      <c r="AI82" s="1">
        <v>25</v>
      </c>
      <c r="AJ82" s="1">
        <v>30</v>
      </c>
      <c r="AK82" s="1">
        <v>1999</v>
      </c>
      <c r="AL82" s="1">
        <v>16.5413793103448</v>
      </c>
      <c r="AM82" s="1">
        <v>3.23421052631579</v>
      </c>
      <c r="AN82" s="1">
        <v>3.68526315789474</v>
      </c>
      <c r="AO82" s="1">
        <v>3.41421052631579</v>
      </c>
      <c r="AP82" s="1">
        <v>2.82368421052632</v>
      </c>
      <c r="AQ82" s="1">
        <v>2.72947368421053</v>
      </c>
      <c r="AR82" s="1">
        <v>2.78368421052632</v>
      </c>
      <c r="AS82" s="1">
        <v>3.93555555555556</v>
      </c>
      <c r="AT82" s="1">
        <v>174000000</v>
      </c>
      <c r="AU82" s="1">
        <v>0.309</v>
      </c>
      <c r="AV82" s="1">
        <v>51500000000</v>
      </c>
      <c r="AW82" s="1">
        <v>15913500000</v>
      </c>
      <c r="AX82" s="1">
        <v>10000000</v>
      </c>
      <c r="BE82" s="9">
        <v>0.0841434946547197</v>
      </c>
      <c r="BF82" s="9">
        <f t="shared" si="2"/>
        <v>-0.76165877322468</v>
      </c>
    </row>
    <row r="83" ht="15.75" customHeight="1" spans="1:58">
      <c r="A83" s="1" t="s">
        <v>216</v>
      </c>
      <c r="B83" s="1" t="s">
        <v>92</v>
      </c>
      <c r="C83" s="1" t="s">
        <v>63</v>
      </c>
      <c r="D83" s="1">
        <v>2023</v>
      </c>
      <c r="E83" s="1">
        <v>0.798</v>
      </c>
      <c r="F83" s="1">
        <v>2023</v>
      </c>
      <c r="G83" s="1">
        <v>0.574751</v>
      </c>
      <c r="H83" s="1">
        <v>2023</v>
      </c>
      <c r="I83" s="1">
        <v>0.288</v>
      </c>
      <c r="J83" s="1">
        <v>2023</v>
      </c>
      <c r="K83" s="1">
        <v>76.4115</v>
      </c>
      <c r="L83" s="1">
        <v>2022</v>
      </c>
      <c r="M83" s="1">
        <v>0.165019408</v>
      </c>
      <c r="N83" s="1">
        <v>2025</v>
      </c>
      <c r="O83" s="1">
        <v>33</v>
      </c>
      <c r="P83" s="1" t="s">
        <v>217</v>
      </c>
      <c r="Q83" s="1">
        <v>0.009</v>
      </c>
      <c r="R83" s="1">
        <v>0.012</v>
      </c>
      <c r="S83" s="1">
        <v>45.1</v>
      </c>
      <c r="T83" s="1">
        <v>2023</v>
      </c>
      <c r="U83" s="1">
        <v>0.798</v>
      </c>
      <c r="V83" s="1">
        <v>2023</v>
      </c>
      <c r="W83" s="1">
        <v>0.635568</v>
      </c>
      <c r="X83" s="1">
        <v>2023</v>
      </c>
      <c r="Y83" s="1">
        <v>0.288</v>
      </c>
      <c r="Z83" s="1">
        <v>2023</v>
      </c>
      <c r="AA83" s="1">
        <v>76.4115</v>
      </c>
      <c r="AB83" s="1">
        <v>33</v>
      </c>
      <c r="AC83" s="1">
        <v>116</v>
      </c>
      <c r="AD83" s="1">
        <v>107</v>
      </c>
      <c r="AE83" s="1">
        <v>62.4</v>
      </c>
      <c r="AF83" s="1">
        <v>70.9</v>
      </c>
      <c r="AG83" s="1">
        <v>81.3</v>
      </c>
      <c r="AH83" s="1">
        <v>72.4</v>
      </c>
      <c r="AI83" s="1">
        <v>55</v>
      </c>
      <c r="AJ83" s="1">
        <v>60</v>
      </c>
      <c r="AK83" s="1">
        <v>2000.75</v>
      </c>
      <c r="AL83" s="1">
        <v>2.4</v>
      </c>
      <c r="AM83" s="1">
        <v>2.53</v>
      </c>
      <c r="AN83" s="1">
        <v>3.06</v>
      </c>
      <c r="AO83" s="1">
        <v>2.23</v>
      </c>
      <c r="AP83" s="1">
        <v>2.02</v>
      </c>
      <c r="AQ83" s="1">
        <v>2.18</v>
      </c>
      <c r="AR83" s="1">
        <v>2.23</v>
      </c>
      <c r="AS83" s="1">
        <v>3.45</v>
      </c>
      <c r="AT83" s="1">
        <v>10000000000</v>
      </c>
      <c r="AU83" s="1">
        <v>0.624</v>
      </c>
      <c r="AV83" s="1">
        <v>1.7</v>
      </c>
      <c r="AW83" s="1">
        <v>1.0608</v>
      </c>
      <c r="AX83" s="1">
        <v>70200000</v>
      </c>
      <c r="BE83" s="9">
        <v>0.0206935176727701</v>
      </c>
      <c r="BF83" s="9">
        <f t="shared" si="2"/>
        <v>0.400142844536497</v>
      </c>
    </row>
    <row r="84" ht="15.75" customHeight="1" spans="1:58">
      <c r="A84" s="1" t="s">
        <v>218</v>
      </c>
      <c r="B84" s="1" t="s">
        <v>79</v>
      </c>
      <c r="C84" s="1" t="s">
        <v>63</v>
      </c>
      <c r="D84" s="1">
        <v>2023</v>
      </c>
      <c r="E84" s="1">
        <v>0.853</v>
      </c>
      <c r="F84" s="1">
        <v>2023</v>
      </c>
      <c r="G84" s="1">
        <v>0.596935</v>
      </c>
      <c r="H84" s="1">
        <v>2023</v>
      </c>
      <c r="I84" s="1">
        <v>0.227</v>
      </c>
      <c r="J84" s="1">
        <v>2023</v>
      </c>
      <c r="K84" s="1">
        <v>77.1557</v>
      </c>
      <c r="L84" s="1">
        <v>2022</v>
      </c>
      <c r="M84" s="1">
        <v>-0.0946318026285714</v>
      </c>
      <c r="N84" s="1">
        <v>2025</v>
      </c>
      <c r="O84" s="1">
        <v>31</v>
      </c>
      <c r="P84" s="1" t="s">
        <v>219</v>
      </c>
      <c r="Q84" s="1">
        <v>0.094</v>
      </c>
      <c r="R84" s="1">
        <v>0.539</v>
      </c>
      <c r="S84" s="1">
        <v>40.6</v>
      </c>
      <c r="T84" s="1">
        <v>2023</v>
      </c>
      <c r="U84" s="1">
        <v>0.853</v>
      </c>
      <c r="V84" s="1">
        <v>2023</v>
      </c>
      <c r="W84" s="1">
        <v>0.615183</v>
      </c>
      <c r="X84" s="1">
        <v>2023</v>
      </c>
      <c r="Y84" s="1">
        <v>0.227</v>
      </c>
      <c r="Z84" s="1">
        <v>2023</v>
      </c>
      <c r="AA84" s="1">
        <v>77.1557</v>
      </c>
      <c r="AB84" s="1">
        <v>31</v>
      </c>
      <c r="AC84" s="1">
        <v>124</v>
      </c>
      <c r="AD84" s="1">
        <v>37</v>
      </c>
      <c r="AE84" s="1">
        <v>29.3</v>
      </c>
      <c r="AF84" s="1">
        <v>58.5</v>
      </c>
      <c r="AG84" s="1">
        <v>72.2</v>
      </c>
      <c r="AH84" s="1">
        <v>72.8</v>
      </c>
      <c r="AI84" s="1">
        <v>70</v>
      </c>
      <c r="AJ84" s="1">
        <v>60</v>
      </c>
      <c r="AK84" s="1">
        <v>2000.75</v>
      </c>
      <c r="AL84" s="1">
        <v>5</v>
      </c>
      <c r="AM84" s="1">
        <v>2.96</v>
      </c>
      <c r="AN84" s="1">
        <v>3.61</v>
      </c>
      <c r="AO84" s="1">
        <v>3.08</v>
      </c>
      <c r="AP84" s="1">
        <v>2.68</v>
      </c>
      <c r="AQ84" s="1">
        <v>2.23</v>
      </c>
      <c r="AR84" s="1">
        <v>2.4</v>
      </c>
      <c r="AS84" s="1">
        <v>4</v>
      </c>
      <c r="AT84" s="1">
        <v>12900000000</v>
      </c>
      <c r="AU84" s="1">
        <v>0.293</v>
      </c>
      <c r="AV84" s="1">
        <v>3.3</v>
      </c>
      <c r="AW84" s="1">
        <v>0.9669</v>
      </c>
      <c r="AX84" s="1">
        <v>85400000</v>
      </c>
      <c r="BE84" s="9">
        <v>0.0465604147637328</v>
      </c>
      <c r="BF84" s="9">
        <f t="shared" si="2"/>
        <v>-0.073493306589163</v>
      </c>
    </row>
    <row r="85" ht="15.75" customHeight="1" spans="1:58">
      <c r="A85" s="1" t="s">
        <v>220</v>
      </c>
      <c r="B85" s="1" t="s">
        <v>145</v>
      </c>
      <c r="C85" s="1" t="s">
        <v>63</v>
      </c>
      <c r="D85" s="1">
        <v>2023</v>
      </c>
      <c r="E85" s="1">
        <v>0.764</v>
      </c>
      <c r="F85" s="1">
        <v>2023</v>
      </c>
      <c r="G85" s="1">
        <v>0.585435</v>
      </c>
      <c r="H85" s="1">
        <v>2023</v>
      </c>
      <c r="I85" s="1">
        <v>0.319181818181818</v>
      </c>
      <c r="J85" s="1">
        <v>2023</v>
      </c>
      <c r="K85" s="1">
        <v>70.0727</v>
      </c>
      <c r="L85" s="1">
        <v>2022</v>
      </c>
      <c r="M85" s="1">
        <v>-2.067060709</v>
      </c>
      <c r="N85" s="1">
        <v>2025</v>
      </c>
      <c r="O85" s="1">
        <v>17</v>
      </c>
      <c r="P85" s="1" t="s">
        <v>221</v>
      </c>
      <c r="Q85" s="1">
        <v>0.041</v>
      </c>
      <c r="R85" s="1">
        <v>-0.016</v>
      </c>
      <c r="S85" s="1">
        <v>17.7</v>
      </c>
      <c r="T85" s="1">
        <v>2023</v>
      </c>
      <c r="U85" s="1">
        <v>0.764</v>
      </c>
      <c r="V85" s="1">
        <v>2023</v>
      </c>
      <c r="W85" s="1">
        <v>0.598711</v>
      </c>
      <c r="X85" s="1">
        <v>2023</v>
      </c>
      <c r="Y85" s="1">
        <v>0.319181818181818</v>
      </c>
      <c r="Z85" s="1">
        <v>2023</v>
      </c>
      <c r="AA85" s="1">
        <v>70.0727</v>
      </c>
      <c r="AB85" s="1">
        <v>17</v>
      </c>
      <c r="AC85" s="1">
        <v>167</v>
      </c>
      <c r="AD85" s="1">
        <v>169</v>
      </c>
      <c r="AE85" s="1">
        <v>4.7</v>
      </c>
      <c r="AF85" s="1">
        <v>37.4</v>
      </c>
      <c r="AG85" s="1">
        <v>94.2</v>
      </c>
      <c r="AH85" s="1">
        <v>74.2</v>
      </c>
      <c r="AI85" s="1">
        <v>10</v>
      </c>
      <c r="AJ85" s="1">
        <v>10</v>
      </c>
      <c r="AK85" s="1">
        <v>1998</v>
      </c>
      <c r="AL85" s="1">
        <v>16.5413793103448</v>
      </c>
      <c r="AM85" s="1">
        <v>3.23421052631579</v>
      </c>
      <c r="AN85" s="1">
        <v>3.68526315789474</v>
      </c>
      <c r="AO85" s="1">
        <v>3.41421052631579</v>
      </c>
      <c r="AP85" s="1">
        <v>2.82368421052632</v>
      </c>
      <c r="AQ85" s="1">
        <v>2.72947368421053</v>
      </c>
      <c r="AR85" s="1">
        <v>2.78368421052632</v>
      </c>
      <c r="AS85" s="1">
        <v>3.93555555555556</v>
      </c>
      <c r="AT85" s="1">
        <v>936000000</v>
      </c>
      <c r="AU85" s="1">
        <v>0.047</v>
      </c>
      <c r="AV85" s="1">
        <v>169300000000</v>
      </c>
      <c r="AW85" s="1">
        <v>7957100000</v>
      </c>
      <c r="AX85" s="1">
        <v>6500000</v>
      </c>
      <c r="BE85" s="9"/>
      <c r="BF85" s="9" t="str">
        <f t="shared" si="2"/>
        <v/>
      </c>
    </row>
    <row r="86" ht="15.75" customHeight="1" spans="1:58">
      <c r="A86" s="1" t="s">
        <v>222</v>
      </c>
      <c r="B86" s="1" t="s">
        <v>65</v>
      </c>
      <c r="C86" s="1" t="s">
        <v>66</v>
      </c>
      <c r="D86" s="1">
        <v>2023</v>
      </c>
      <c r="E86" s="1">
        <v>0.779</v>
      </c>
      <c r="F86" s="1">
        <v>2023</v>
      </c>
      <c r="G86" s="1">
        <v>0.358239</v>
      </c>
      <c r="H86" s="1">
        <v>2023</v>
      </c>
      <c r="I86" s="1">
        <v>0.101564102564103</v>
      </c>
      <c r="J86" s="1">
        <v>2023</v>
      </c>
      <c r="K86" s="1">
        <v>73.4225</v>
      </c>
      <c r="L86" s="1">
        <v>2022</v>
      </c>
      <c r="M86" s="1">
        <v>-0.331597328</v>
      </c>
      <c r="N86" s="1">
        <v>2025</v>
      </c>
      <c r="O86" s="1">
        <v>36</v>
      </c>
      <c r="P86" s="1" t="s">
        <v>223</v>
      </c>
      <c r="Q86" s="1">
        <v>0.098</v>
      </c>
      <c r="R86" s="1">
        <v>0.129</v>
      </c>
      <c r="S86" s="1">
        <v>21.5</v>
      </c>
      <c r="T86" s="1">
        <v>2023</v>
      </c>
      <c r="U86" s="1">
        <v>0.779</v>
      </c>
      <c r="V86" s="1">
        <v>2023</v>
      </c>
      <c r="W86" s="1">
        <v>0.38548</v>
      </c>
      <c r="X86" s="1">
        <v>2023</v>
      </c>
      <c r="Y86" s="1">
        <v>0.0868421052631579</v>
      </c>
      <c r="Z86" s="1">
        <v>2023</v>
      </c>
      <c r="AA86" s="1">
        <v>73.4225</v>
      </c>
      <c r="AB86" s="1">
        <v>36</v>
      </c>
      <c r="AC86" s="1">
        <v>104</v>
      </c>
      <c r="AD86" s="1">
        <v>166</v>
      </c>
      <c r="AE86" s="1">
        <v>82.3</v>
      </c>
      <c r="AF86" s="1">
        <v>78.9837837837838</v>
      </c>
      <c r="AG86" s="1">
        <v>73.2</v>
      </c>
      <c r="AH86" s="1">
        <v>79.5421052631579</v>
      </c>
      <c r="AI86" s="1">
        <v>71.1842105263158</v>
      </c>
      <c r="AJ86" s="1">
        <v>1999</v>
      </c>
      <c r="AK86" s="1">
        <v>4.4</v>
      </c>
      <c r="AL86" s="1">
        <v>43.696875</v>
      </c>
      <c r="AM86" s="1">
        <v>2.2616</v>
      </c>
      <c r="AN86" s="1">
        <v>2.8232</v>
      </c>
      <c r="AO86" s="1">
        <v>2.538</v>
      </c>
      <c r="AP86" s="1">
        <v>2.2348</v>
      </c>
      <c r="AQ86" s="1">
        <v>1.734</v>
      </c>
      <c r="AR86" s="1">
        <v>1.4236</v>
      </c>
      <c r="AS86" s="1">
        <v>2.926</v>
      </c>
      <c r="AT86" s="1">
        <v>848000000</v>
      </c>
      <c r="AU86" s="1">
        <v>0.823</v>
      </c>
      <c r="AV86" s="1">
        <v>621600000000</v>
      </c>
      <c r="AW86" s="1">
        <v>511576800000</v>
      </c>
      <c r="AX86" s="1">
        <v>34000000</v>
      </c>
      <c r="BE86" s="9">
        <v>0.155353540763958</v>
      </c>
      <c r="BF86" s="9">
        <f t="shared" si="2"/>
        <v>-2.06555123632356</v>
      </c>
    </row>
    <row r="87" ht="15.75" customHeight="1" spans="1:58">
      <c r="A87" s="1" t="s">
        <v>224</v>
      </c>
      <c r="B87" s="1" t="s">
        <v>79</v>
      </c>
      <c r="C87" s="1" t="s">
        <v>63</v>
      </c>
      <c r="D87" s="1">
        <v>2023</v>
      </c>
      <c r="E87" s="1">
        <v>0.94</v>
      </c>
      <c r="F87" s="1">
        <v>2023</v>
      </c>
      <c r="G87" s="1">
        <v>0.583823</v>
      </c>
      <c r="H87" s="1">
        <v>2023</v>
      </c>
      <c r="I87" s="1">
        <v>0.04</v>
      </c>
      <c r="J87" s="1">
        <v>2023</v>
      </c>
      <c r="K87" s="1">
        <v>82.9091</v>
      </c>
      <c r="L87" s="1">
        <v>2022</v>
      </c>
      <c r="M87" s="1">
        <v>1.034780741</v>
      </c>
      <c r="N87" s="1">
        <v>2025</v>
      </c>
      <c r="O87" s="1">
        <v>69</v>
      </c>
      <c r="P87" s="1" t="s">
        <v>225</v>
      </c>
      <c r="Q87" s="1">
        <v>0.027</v>
      </c>
      <c r="R87" s="1">
        <v>0.016</v>
      </c>
      <c r="S87" s="1">
        <v>65.4</v>
      </c>
      <c r="T87" s="1">
        <v>2023</v>
      </c>
      <c r="U87" s="1">
        <v>0.94</v>
      </c>
      <c r="V87" s="1">
        <v>2023</v>
      </c>
      <c r="W87" s="1">
        <v>0.583081</v>
      </c>
      <c r="X87" s="1">
        <v>2023</v>
      </c>
      <c r="Y87" s="1">
        <v>0.04</v>
      </c>
      <c r="Z87" s="1">
        <v>2023</v>
      </c>
      <c r="AA87" s="1">
        <v>82.9091</v>
      </c>
      <c r="AB87" s="1">
        <v>69</v>
      </c>
      <c r="AC87" s="1">
        <v>21</v>
      </c>
      <c r="AD87" s="1">
        <v>164</v>
      </c>
      <c r="AE87" s="1">
        <v>32.4</v>
      </c>
      <c r="AF87" s="1">
        <v>84.2</v>
      </c>
      <c r="AG87" s="1">
        <v>96.9</v>
      </c>
      <c r="AH87" s="1">
        <v>78.4</v>
      </c>
      <c r="AI87" s="1">
        <v>50</v>
      </c>
      <c r="AJ87" s="1">
        <v>60</v>
      </c>
      <c r="AK87" s="1">
        <v>1998</v>
      </c>
      <c r="AL87" s="1">
        <v>19.1</v>
      </c>
      <c r="AM87" s="1">
        <v>3.23421052631579</v>
      </c>
      <c r="AN87" s="1">
        <v>3.68526315789474</v>
      </c>
      <c r="AO87" s="1">
        <v>3.41421052631579</v>
      </c>
      <c r="AP87" s="1">
        <v>2.82368421052632</v>
      </c>
      <c r="AQ87" s="1">
        <v>2.72947368421053</v>
      </c>
      <c r="AR87" s="1">
        <v>2.78368421052632</v>
      </c>
      <c r="AS87" s="1">
        <v>3.93555555555556</v>
      </c>
      <c r="AT87" s="1">
        <v>22700000000</v>
      </c>
      <c r="AU87" s="1">
        <v>0.324</v>
      </c>
      <c r="AV87" s="1">
        <v>797900000000</v>
      </c>
      <c r="AW87" s="1">
        <v>258519600000</v>
      </c>
      <c r="AX87" s="1">
        <v>10700000</v>
      </c>
      <c r="BE87" s="9">
        <v>0.0063906451636496</v>
      </c>
      <c r="BF87" s="9">
        <f t="shared" si="2"/>
        <v>0.66203577515892</v>
      </c>
    </row>
    <row r="88" ht="15.75" customHeight="1" spans="1:58">
      <c r="A88" s="7" t="s">
        <v>226</v>
      </c>
      <c r="B88" s="1" t="s">
        <v>107</v>
      </c>
      <c r="C88" s="1" t="s">
        <v>66</v>
      </c>
      <c r="D88" s="1">
        <v>2023</v>
      </c>
      <c r="E88" s="1">
        <v>0.946</v>
      </c>
      <c r="F88" s="1">
        <v>2023</v>
      </c>
      <c r="G88" s="1">
        <v>0.270831</v>
      </c>
      <c r="H88" s="1">
        <v>2023</v>
      </c>
      <c r="I88" s="1">
        <v>0.083</v>
      </c>
      <c r="J88" s="1">
        <v>2023</v>
      </c>
      <c r="K88" s="1">
        <v>81.3015</v>
      </c>
      <c r="L88" s="1">
        <v>2022</v>
      </c>
      <c r="M88" s="1">
        <v>1.566510081</v>
      </c>
      <c r="N88" s="1">
        <v>2025</v>
      </c>
      <c r="O88" s="1">
        <v>70</v>
      </c>
      <c r="P88" s="1" t="s">
        <v>227</v>
      </c>
      <c r="Q88" s="1">
        <v>0.041</v>
      </c>
      <c r="R88" s="1">
        <v>0.073</v>
      </c>
      <c r="S88" s="1">
        <v>95.2</v>
      </c>
      <c r="T88" s="1">
        <v>2023</v>
      </c>
      <c r="U88" s="1">
        <v>0.946</v>
      </c>
      <c r="V88" s="1">
        <v>2023</v>
      </c>
      <c r="W88" s="1">
        <v>0.473764</v>
      </c>
      <c r="X88" s="1">
        <v>2023</v>
      </c>
      <c r="Y88" s="1">
        <v>0.083</v>
      </c>
      <c r="Z88" s="1">
        <v>2023</v>
      </c>
      <c r="AA88" s="1">
        <v>81.3015</v>
      </c>
      <c r="AB88" s="1">
        <v>70</v>
      </c>
      <c r="AC88" s="1">
        <v>20</v>
      </c>
      <c r="AD88" s="1">
        <v>16</v>
      </c>
      <c r="AE88" s="1">
        <v>100</v>
      </c>
      <c r="AF88" s="1">
        <v>83.4</v>
      </c>
      <c r="AG88" s="1">
        <v>61</v>
      </c>
      <c r="AH88" s="1">
        <v>83.4</v>
      </c>
      <c r="AI88" s="1">
        <v>70</v>
      </c>
      <c r="AJ88" s="1">
        <v>80</v>
      </c>
      <c r="AK88" s="1">
        <v>1717.05714285714</v>
      </c>
      <c r="AL88" s="1">
        <v>96.8</v>
      </c>
      <c r="AM88" s="1">
        <v>1.24</v>
      </c>
      <c r="AN88" s="1">
        <v>1.02</v>
      </c>
      <c r="AO88" s="1">
        <v>1.72</v>
      </c>
      <c r="AP88" s="1">
        <v>1</v>
      </c>
      <c r="AQ88" s="1">
        <v>1.03</v>
      </c>
      <c r="AR88" s="1">
        <v>1</v>
      </c>
      <c r="AS88" s="1">
        <v>2.09</v>
      </c>
      <c r="AT88" s="1">
        <v>14100000000</v>
      </c>
      <c r="AU88" s="1">
        <v>1</v>
      </c>
      <c r="AV88" s="1">
        <v>4.1</v>
      </c>
      <c r="AW88" s="1">
        <v>4.1</v>
      </c>
      <c r="AX88" s="1">
        <v>68100000</v>
      </c>
      <c r="AY88" s="1">
        <v>0.0556888181818182</v>
      </c>
      <c r="AZ88" s="1">
        <v>0.0514072</v>
      </c>
      <c r="BA88" s="1">
        <v>0.07385750132292</v>
      </c>
      <c r="BB88" s="1">
        <v>-0.0719794</v>
      </c>
      <c r="BC88" s="1">
        <v>0.0448941818181818</v>
      </c>
      <c r="BD88" s="1">
        <v>0.0469535</v>
      </c>
      <c r="BE88" s="9">
        <v>0.0077600691272888</v>
      </c>
      <c r="BF88" s="9">
        <f t="shared" si="2"/>
        <v>0.636960920099326</v>
      </c>
    </row>
    <row r="89" ht="15.75" customHeight="1" spans="1:58">
      <c r="A89" s="1" t="s">
        <v>228</v>
      </c>
      <c r="B89" s="1" t="s">
        <v>145</v>
      </c>
      <c r="C89" s="1" t="s">
        <v>63</v>
      </c>
      <c r="D89" s="1">
        <v>2023</v>
      </c>
      <c r="E89" s="1">
        <v>0.74</v>
      </c>
      <c r="F89" s="1">
        <v>2023</v>
      </c>
      <c r="G89" s="1">
        <v>0.53222</v>
      </c>
      <c r="H89" s="1">
        <v>2023</v>
      </c>
      <c r="I89" s="1">
        <v>0.291</v>
      </c>
      <c r="J89" s="1">
        <v>2023</v>
      </c>
      <c r="K89" s="1">
        <v>72.3884</v>
      </c>
      <c r="L89" s="1">
        <v>2022</v>
      </c>
      <c r="M89" s="1">
        <v>-0.55031544</v>
      </c>
      <c r="N89" s="1">
        <v>2025</v>
      </c>
      <c r="O89" s="1">
        <v>31</v>
      </c>
      <c r="P89" s="1" t="s">
        <v>229</v>
      </c>
      <c r="Q89" s="1">
        <v>0.045</v>
      </c>
      <c r="R89" s="1">
        <v>0.1</v>
      </c>
      <c r="S89" s="1">
        <v>33.5</v>
      </c>
      <c r="T89" s="1">
        <v>2023</v>
      </c>
      <c r="U89" s="1">
        <v>0.74</v>
      </c>
      <c r="V89" s="1">
        <v>2023</v>
      </c>
      <c r="W89" s="1">
        <v>0.556089</v>
      </c>
      <c r="X89" s="1">
        <v>2023</v>
      </c>
      <c r="Y89" s="1">
        <v>0.291</v>
      </c>
      <c r="Z89" s="1">
        <v>2023</v>
      </c>
      <c r="AA89" s="1">
        <v>72.3884</v>
      </c>
      <c r="AB89" s="1">
        <v>31</v>
      </c>
      <c r="AC89" s="1">
        <v>124</v>
      </c>
      <c r="AD89" s="1">
        <v>63</v>
      </c>
      <c r="AE89" s="1">
        <v>32.5</v>
      </c>
      <c r="AF89" s="1">
        <v>64.4</v>
      </c>
      <c r="AG89" s="1">
        <v>92.8</v>
      </c>
      <c r="AH89" s="1">
        <v>80.6</v>
      </c>
      <c r="AI89" s="1">
        <v>60</v>
      </c>
      <c r="AJ89" s="1">
        <v>60</v>
      </c>
      <c r="AK89" s="1">
        <v>2000.75</v>
      </c>
      <c r="AL89" s="1">
        <v>2.6</v>
      </c>
      <c r="AM89" s="1">
        <v>3.23421052631579</v>
      </c>
      <c r="AN89" s="1">
        <v>3.68526315789474</v>
      </c>
      <c r="AO89" s="1">
        <v>3.41421052631579</v>
      </c>
      <c r="AP89" s="1">
        <v>2.82368421052632</v>
      </c>
      <c r="AQ89" s="1">
        <v>2.72947368421053</v>
      </c>
      <c r="AR89" s="1">
        <v>2.78368421052632</v>
      </c>
      <c r="AS89" s="1">
        <v>3.93555555555556</v>
      </c>
      <c r="AT89" s="1">
        <v>2500000000</v>
      </c>
      <c r="AU89" s="1">
        <v>0.325</v>
      </c>
      <c r="AV89" s="1">
        <v>396000000000</v>
      </c>
      <c r="AW89" s="1">
        <v>128700000000</v>
      </c>
      <c r="AX89" s="1">
        <v>36000000</v>
      </c>
      <c r="BE89" s="9">
        <v>0.0465604147637328</v>
      </c>
      <c r="BF89" s="9">
        <f t="shared" si="2"/>
        <v>-0.073493306589163</v>
      </c>
    </row>
    <row r="90" ht="15.75" customHeight="1" spans="1:58">
      <c r="A90" s="1" t="s">
        <v>230</v>
      </c>
      <c r="B90" s="1" t="s">
        <v>92</v>
      </c>
      <c r="C90" s="1" t="s">
        <v>63</v>
      </c>
      <c r="D90" s="1">
        <v>2023</v>
      </c>
      <c r="E90" s="1">
        <v>0.766</v>
      </c>
      <c r="F90" s="1">
        <v>2023</v>
      </c>
      <c r="G90" s="1">
        <v>0.529938</v>
      </c>
      <c r="H90" s="1">
        <v>2023</v>
      </c>
      <c r="I90" s="1">
        <v>0.299</v>
      </c>
      <c r="J90" s="1">
        <v>2023</v>
      </c>
      <c r="K90" s="1">
        <v>74.5883</v>
      </c>
      <c r="L90" s="1">
        <v>2022</v>
      </c>
      <c r="M90" s="1">
        <v>-0.0946318026285714</v>
      </c>
      <c r="N90" s="1">
        <v>2025</v>
      </c>
      <c r="O90" s="1">
        <v>41</v>
      </c>
      <c r="P90" s="1" t="s">
        <v>231</v>
      </c>
      <c r="Q90" s="1">
        <v>0.016</v>
      </c>
      <c r="R90" s="1">
        <v>0.033</v>
      </c>
      <c r="S90" s="1">
        <v>49.9</v>
      </c>
      <c r="T90" s="1">
        <v>2023</v>
      </c>
      <c r="U90" s="1">
        <v>0.766</v>
      </c>
      <c r="V90" s="1">
        <v>2023</v>
      </c>
      <c r="W90" s="1">
        <v>0.546384</v>
      </c>
      <c r="X90" s="1">
        <v>2023</v>
      </c>
      <c r="Y90" s="1">
        <v>0.299</v>
      </c>
      <c r="Z90" s="1">
        <v>2023</v>
      </c>
      <c r="AA90" s="1">
        <v>74.5883</v>
      </c>
      <c r="AB90" s="1">
        <v>41</v>
      </c>
      <c r="AC90" s="1">
        <v>81</v>
      </c>
      <c r="AD90" s="1">
        <v>53</v>
      </c>
      <c r="AE90" s="1">
        <v>34.4</v>
      </c>
      <c r="AF90" s="1">
        <v>73.9</v>
      </c>
      <c r="AG90" s="1">
        <v>81.8</v>
      </c>
      <c r="AH90" s="1">
        <v>79.8</v>
      </c>
      <c r="AI90" s="1">
        <v>60</v>
      </c>
      <c r="AJ90" s="1">
        <v>50</v>
      </c>
      <c r="AK90" s="1">
        <v>2002</v>
      </c>
      <c r="AL90" s="1">
        <v>4.1</v>
      </c>
      <c r="AM90" s="1">
        <v>3.25</v>
      </c>
      <c r="AN90" s="1">
        <v>4.01</v>
      </c>
      <c r="AO90" s="1">
        <v>2.37</v>
      </c>
      <c r="AP90" s="1">
        <v>2.35</v>
      </c>
      <c r="AQ90" s="1">
        <v>3.1</v>
      </c>
      <c r="AR90" s="1">
        <v>2.87</v>
      </c>
      <c r="AS90" s="1">
        <v>4.64</v>
      </c>
      <c r="AT90" s="1">
        <v>17900000000</v>
      </c>
      <c r="AU90" s="1">
        <v>0.344</v>
      </c>
      <c r="AV90" s="1">
        <v>1.5</v>
      </c>
      <c r="AW90" s="1">
        <v>0.516</v>
      </c>
      <c r="AX90" s="1">
        <v>100300000</v>
      </c>
      <c r="BE90" s="9">
        <v>0.0389525038546261</v>
      </c>
      <c r="BF90" s="9">
        <f t="shared" si="2"/>
        <v>0.0658114437419132</v>
      </c>
    </row>
    <row r="91" ht="15.75" customHeight="1" spans="1:58">
      <c r="A91" s="1" t="s">
        <v>232</v>
      </c>
      <c r="B91" s="1" t="s">
        <v>79</v>
      </c>
      <c r="C91" s="1" t="s">
        <v>63</v>
      </c>
      <c r="D91" s="1">
        <v>2023</v>
      </c>
      <c r="E91" s="1">
        <v>0.47</v>
      </c>
      <c r="F91" s="1">
        <v>2023</v>
      </c>
      <c r="G91" s="1">
        <v>0.654085</v>
      </c>
      <c r="H91" s="1">
        <v>2023</v>
      </c>
      <c r="I91" s="1">
        <v>0.838</v>
      </c>
      <c r="J91" s="1">
        <v>2023</v>
      </c>
      <c r="K91" s="1">
        <v>69.2952</v>
      </c>
      <c r="L91" s="1">
        <v>2022</v>
      </c>
      <c r="M91" s="1">
        <v>-0.0946318026285714</v>
      </c>
      <c r="N91" s="1">
        <v>2025</v>
      </c>
      <c r="O91" s="1">
        <v>13</v>
      </c>
      <c r="P91" s="1" t="s">
        <v>233</v>
      </c>
      <c r="Q91" s="1">
        <v>0.172</v>
      </c>
      <c r="R91" s="1">
        <v>0.009</v>
      </c>
      <c r="S91" s="1">
        <v>5.1</v>
      </c>
      <c r="T91" s="1">
        <v>2023</v>
      </c>
      <c r="U91" s="1">
        <v>0.47</v>
      </c>
      <c r="V91" s="1">
        <v>2023</v>
      </c>
      <c r="W91" s="1">
        <v>0.675224</v>
      </c>
      <c r="X91" s="1">
        <v>2023</v>
      </c>
      <c r="Y91" s="1">
        <v>0.838</v>
      </c>
      <c r="Z91" s="1">
        <v>2023</v>
      </c>
      <c r="AA91" s="1">
        <v>69.2952</v>
      </c>
      <c r="AB91" s="1">
        <v>13</v>
      </c>
      <c r="AC91" s="1">
        <v>177</v>
      </c>
      <c r="AD91" s="1">
        <v>131</v>
      </c>
      <c r="AE91" s="1">
        <v>81.2</v>
      </c>
      <c r="AF91" s="1">
        <v>66.3184210526316</v>
      </c>
      <c r="AG91" s="1">
        <v>85.1289473684211</v>
      </c>
      <c r="AH91" s="1">
        <v>74.0157894736842</v>
      </c>
      <c r="AI91" s="1">
        <v>50.2631578947368</v>
      </c>
      <c r="AJ91" s="1">
        <v>1998</v>
      </c>
      <c r="AK91" s="1">
        <v>2000.75</v>
      </c>
      <c r="AL91" s="1">
        <v>16.5413793103448</v>
      </c>
      <c r="AM91" s="1">
        <v>3.23421052631579</v>
      </c>
      <c r="AN91" s="1">
        <v>3.68526315789474</v>
      </c>
      <c r="AO91" s="1">
        <v>3.41421052631579</v>
      </c>
      <c r="AP91" s="1">
        <v>2.82368421052632</v>
      </c>
      <c r="AQ91" s="1">
        <v>2.72947368421053</v>
      </c>
      <c r="AR91" s="1">
        <v>2.78368421052632</v>
      </c>
      <c r="AS91" s="1">
        <v>3.93555555555556</v>
      </c>
      <c r="AT91" s="1">
        <v>15892717948.718</v>
      </c>
      <c r="AU91" s="1">
        <v>0.812</v>
      </c>
      <c r="AV91" s="1">
        <v>68600000000</v>
      </c>
      <c r="AW91" s="1">
        <v>55703200000</v>
      </c>
      <c r="AX91" s="1">
        <v>34100000</v>
      </c>
      <c r="BE91" s="9">
        <v>0.155353540763958</v>
      </c>
      <c r="BF91" s="9">
        <f t="shared" si="2"/>
        <v>-2.06555123632356</v>
      </c>
    </row>
    <row r="92" ht="15.75" customHeight="1" spans="1:58">
      <c r="A92" t="s">
        <v>234</v>
      </c>
      <c r="B92" t="s">
        <v>235</v>
      </c>
      <c r="C92" t="s">
        <v>236</v>
      </c>
      <c r="D92">
        <v>2023</v>
      </c>
      <c r="E92">
        <v>0.938</v>
      </c>
      <c r="F92">
        <v>2023</v>
      </c>
      <c r="G92">
        <v>0.585</v>
      </c>
      <c r="H92">
        <v>2023</v>
      </c>
      <c r="I92">
        <v>0.179</v>
      </c>
      <c r="J92">
        <v>2023</v>
      </c>
      <c r="K92">
        <v>78.39</v>
      </c>
      <c r="L92">
        <v>2022</v>
      </c>
      <c r="M92">
        <v>1.24</v>
      </c>
      <c r="N92">
        <v>2025</v>
      </c>
      <c r="O92">
        <v>64</v>
      </c>
      <c r="P92" t="s">
        <v>237</v>
      </c>
      <c r="Q92">
        <v>0.042</v>
      </c>
      <c r="R92">
        <v>0.023</v>
      </c>
      <c r="S92">
        <v>80</v>
      </c>
      <c r="T92">
        <v>2023</v>
      </c>
      <c r="U92">
        <v>0.938</v>
      </c>
      <c r="V92">
        <v>2023</v>
      </c>
      <c r="W92">
        <v>0.585</v>
      </c>
      <c r="X92">
        <v>2023</v>
      </c>
      <c r="Y92">
        <v>0.179</v>
      </c>
      <c r="Z92">
        <v>2023</v>
      </c>
      <c r="AA92">
        <v>78.39</v>
      </c>
      <c r="AB92">
        <v>64</v>
      </c>
      <c r="AC92">
        <v>29</v>
      </c>
      <c r="AD92">
        <v>2</v>
      </c>
      <c r="AE92">
        <v>123.3</v>
      </c>
      <c r="AF92">
        <v>84.8</v>
      </c>
      <c r="AG92">
        <v>73.8</v>
      </c>
      <c r="AH92">
        <v>76.4</v>
      </c>
      <c r="AI92">
        <v>70</v>
      </c>
      <c r="AJ92">
        <v>80</v>
      </c>
      <c r="AK92">
        <v>2003</v>
      </c>
      <c r="AL92">
        <v>78.2</v>
      </c>
      <c r="AM92">
        <v>1.24</v>
      </c>
      <c r="AN92">
        <v>1.15</v>
      </c>
      <c r="AO92">
        <v>1.36</v>
      </c>
      <c r="AP92">
        <v>1.06</v>
      </c>
      <c r="AQ92">
        <v>1</v>
      </c>
      <c r="AR92">
        <v>1.08</v>
      </c>
      <c r="AS92">
        <v>1.73</v>
      </c>
      <c r="AT92">
        <v>350000000000</v>
      </c>
      <c r="AU92">
        <v>1.233</v>
      </c>
      <c r="AV92">
        <v>29300000000000</v>
      </c>
      <c r="AW92">
        <v>36122900000000</v>
      </c>
      <c r="AX92">
        <v>340100000</v>
      </c>
      <c r="AY92">
        <v>0.065</v>
      </c>
      <c r="AZ92">
        <v>0.04</v>
      </c>
      <c r="BA92">
        <v>0.045</v>
      </c>
      <c r="BB92">
        <v>-0.085</v>
      </c>
      <c r="BC92">
        <v>0.048</v>
      </c>
      <c r="BD92">
        <v>0.052</v>
      </c>
      <c r="BE92" s="10">
        <v>0.00233367916999202</v>
      </c>
      <c r="BF92" s="9">
        <f t="shared" si="2"/>
        <v>0.73632090304753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92">
    <extLst/>
  </autoFilter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22" style="1" customWidth="1"/>
    <col min="2" max="2" width="70" style="1" customWidth="1"/>
  </cols>
  <sheetData>
    <row r="1" spans="1:2">
      <c r="A1" s="2" t="s">
        <v>238</v>
      </c>
      <c r="B1" s="3" t="s">
        <v>239</v>
      </c>
    </row>
    <row r="2" spans="1:2">
      <c r="A2" s="4" t="s">
        <v>240</v>
      </c>
      <c r="B2" t="s">
        <v>241</v>
      </c>
    </row>
    <row r="3" spans="1:2">
      <c r="A3" s="5" t="s">
        <v>242</v>
      </c>
      <c r="B3" t="e">
        <f>AVERAGE(BE2:BE92)</f>
        <v>#DIV/0!</v>
      </c>
    </row>
    <row r="4" spans="1:2">
      <c r="A4" s="5" t="s">
        <v>243</v>
      </c>
      <c r="B4" t="e">
        <f>_xlfn.STDEV.S(BE2:BE92)</f>
        <v>#DIV/0!</v>
      </c>
    </row>
    <row r="5" spans="1:2">
      <c r="A5" s="5" t="s">
        <v>244</v>
      </c>
      <c r="B5">
        <f>COUNT(BE2:BE92)</f>
        <v>0</v>
      </c>
    </row>
    <row r="6" spans="1:2">
      <c r="A6" s="5" t="s">
        <v>245</v>
      </c>
      <c r="B6">
        <f>COUNTA(A2:A92)-1-B5</f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CRP_Helper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sophiechen</cp:lastModifiedBy>
  <dcterms:created xsi:type="dcterms:W3CDTF">2026-03-05T22:29:00Z</dcterms:created>
  <dcterms:modified xsi:type="dcterms:W3CDTF">2026-04-17T14:43:50Z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